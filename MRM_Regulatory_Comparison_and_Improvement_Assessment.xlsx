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8.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xecutive Summary" sheetId="2" state="visible" r:id="rId4"/>
    <sheet name="Scoring Methodology" sheetId="3" state="visible" r:id="rId5"/>
    <sheet name="Gap Assessment" sheetId="4" state="visible" r:id="rId6"/>
    <sheet name="Areas for Improvement" sheetId="5" state="visible" r:id="rId7"/>
    <sheet name="Regulatory Crosswalk" sheetId="6" state="visible" r:id="rId8"/>
    <sheet name="Legal Status Matrix" sheetId="7" state="visible" r:id="rId9"/>
    <sheet name="Requirements Register" sheetId="8" state="visible" r:id="rId10"/>
    <sheet name="Requirement Test" sheetId="9" state="visible" r:id="rId11"/>
    <sheet name="Traceability" sheetId="10" state="visible" r:id="rId12"/>
    <sheet name="Principles Register" sheetId="11" state="visible" r:id="rId13"/>
    <sheet name="Statement Ledger" sheetId="12" state="visible" r:id="rId14"/>
    <sheet name="Red Team Audit" sheetId="13" state="visible" r:id="rId15"/>
    <sheet name="Source Register" sheetId="14" state="visible" r:id="rId16"/>
    <sheet name="Glossary" sheetId="15" state="visible" r:id="rId17"/>
  </sheets>
  <definedNames>
    <definedName function="false" hidden="true" localSheetId="4" name="_xlnm._FilterDatabase" vbProcedure="false">'Areas for Improvement'!$A$4:$I$4</definedName>
    <definedName function="false" hidden="true" localSheetId="1" name="_xlnm._FilterDatabase" vbProcedure="false">'Executive Summary'!$A$4:$C$4</definedName>
    <definedName function="false" hidden="true" localSheetId="3" name="_xlnm._FilterDatabase" vbProcedure="false">'Gap Assessment'!$A$4:$O$4</definedName>
    <definedName function="false" hidden="true" localSheetId="14" name="_xlnm._FilterDatabase" vbProcedure="false">Glossary!$A$4:$B$4</definedName>
    <definedName function="false" hidden="true" localSheetId="6" name="_xlnm._FilterDatabase" vbProcedure="false">'Legal Status Matrix'!$A$4:$H$4</definedName>
    <definedName function="false" hidden="true" localSheetId="10" name="_xlnm._FilterDatabase" vbProcedure="false">'Principles Register'!$A$4:$E$4</definedName>
    <definedName function="false" hidden="true" localSheetId="0" name="_xlnm._FilterDatabase" vbProcedure="false">'Read Me'!$A$4:$B$4</definedName>
    <definedName function="false" hidden="true" localSheetId="12" name="_xlnm._FilterDatabase" vbProcedure="false">'Red Team Audit'!$A$4:$H$4</definedName>
    <definedName function="false" hidden="true" localSheetId="5" name="_xlnm._FilterDatabase" vbProcedure="false">'Regulatory Crosswalk'!$A$4:$J$4</definedName>
    <definedName function="false" hidden="true" localSheetId="8" name="_xlnm._FilterDatabase" vbProcedure="false">'Requirement Test'!$A$4:$L$4</definedName>
    <definedName function="false" hidden="true" localSheetId="7" name="_xlnm._FilterDatabase" vbProcedure="false">'Requirements Register'!$A$4:$L$4</definedName>
    <definedName function="false" hidden="true" localSheetId="2" name="_xlnm._FilterDatabase" vbProcedure="false">'Scoring Methodology'!$A$4:$B$4</definedName>
    <definedName function="false" hidden="true" localSheetId="13" name="_xlnm._FilterDatabase" vbProcedure="false">'Source Register'!$A$4:$J$4</definedName>
    <definedName function="false" hidden="true" localSheetId="11" name="_xlnm._FilterDatabase" vbProcedure="false">'Statement Ledger'!$A$4:$H$4</definedName>
    <definedName function="false" hidden="true" localSheetId="9" name="_xlnm._FilterDatabase" vbProcedure="false">Traceability!$A$4:$F$4</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Definition of a model and of model risk
Observed gap:
No APRA instrument defines a model or model risk on a cross-industry basis. Model requirements exist only inside the capital and actuarial standards and apply only to the models those standards cover.</t>
        </r>
      </text>
    </comment>
    <comment ref="B6" authorId="0">
      <text>
        <r>
          <rPr>
            <sz val="10"/>
            <rFont val="Arial"/>
            <family val="2"/>
          </rPr>
          <t xml:space="preserve">Enterprise-wide scope and retained accountability
Observed gap:
CPS 220 requires a risk management framework covering material risks but does not name model risk, so enterprise-wide coverage depends on each entity's own characterisation.</t>
        </r>
      </text>
    </comment>
    <comment ref="B7" authorId="0">
      <text>
        <r>
          <rPr>
            <sz val="10"/>
            <rFont val="Arial"/>
            <family val="2"/>
          </rPr>
          <t xml:space="preserve">Model inventory
Observed gap:
No cross-industry inventory obligation. Without one, no other model risk obligation can be evidenced as complete, and APRA cannot assess sector-wide reliance.</t>
        </r>
      </text>
    </comment>
    <comment ref="B8" authorId="0">
      <text>
        <r>
          <rPr>
            <sz val="10"/>
            <rFont val="Arial"/>
            <family val="2"/>
          </rPr>
          <t xml:space="preserve">Model risk tiering and proportionality
Observed gap:
Proportionality is a general principle across APRA standards but there is no model risk classification taxonomy, so control intensity is not systematically linked to model risk.</t>
        </r>
      </text>
    </comment>
    <comment ref="B9" authorId="0">
      <text>
        <r>
          <rPr>
            <sz val="10"/>
            <rFont val="Arial"/>
            <family val="2"/>
          </rPr>
          <t xml:space="preserve">Board oversight of model risk
Observed gap:
CPS 220 gives the Board responsibility for the risk management framework, but model risk is not identified as a risk requiring Board attention in its own right and no reporting content is specified.</t>
        </r>
      </text>
    </comment>
    <comment ref="B10" authorId="0">
      <text>
        <r>
          <rPr>
            <sz val="10"/>
            <rFont val="Arial"/>
            <family val="2"/>
          </rPr>
          <t xml:space="preserve">Senior accountability for the framework
Observed gap:
No named accountability for model risk as a discipline. Accountability for individual models is implicit in business ownership but framework-level failures have no owner.</t>
        </r>
      </text>
    </comment>
    <comment ref="B11" authorId="0">
      <text>
        <r>
          <rPr>
            <sz val="10"/>
            <rFont val="Arial"/>
            <family val="2"/>
          </rPr>
          <t xml:space="preserve">MRM framework, policies and capability
Observed gap:
There is no requirement to maintain a model risk management framework as such, no documented model risk policy standard, and no requirement for capability and independence sufficient to validate and challenge models. Model governance obligations sit inside instruments written for other purposes.</t>
        </r>
      </text>
    </comment>
    <comment ref="B12" authorId="0">
      <text>
        <r>
          <rPr>
            <sz val="10"/>
            <rFont val="Arial"/>
            <family val="2"/>
          </rPr>
          <t xml:space="preserve">Model risk appetite
Observed gap:
Risk appetite obligations are general. Model risk is rarely expressed in appetite statements in monitorable terms, so it cannot be breached or escalated.</t>
        </r>
      </text>
    </comment>
    <comment ref="B13" authorId="0">
      <text>
        <r>
          <rPr>
            <sz val="10"/>
            <rFont val="Arial"/>
            <family val="2"/>
          </rPr>
          <t xml:space="preserve">Development and conceptual soundness
Observed gap:
Development standards exist only for capital models under APS 113 and for actuarial work. Models outside those regimes have no development expectation.</t>
        </r>
      </text>
    </comment>
    <comment ref="B14" authorId="0">
      <text>
        <r>
          <rPr>
            <sz val="10"/>
            <rFont val="Arial"/>
            <family val="2"/>
          </rPr>
          <t xml:space="preserve">Data quality, provenance and appropriateness
Observed gap:
CPG 235 provides a data governance foundation but is a practice guide, is dated, and does not address model-specific concerns such as proxy data, representativeness or synthetic data.</t>
        </r>
      </text>
    </comment>
    <comment ref="B15" authorId="0">
      <text>
        <r>
          <rPr>
            <sz val="10"/>
            <rFont val="Arial"/>
            <family val="2"/>
          </rPr>
          <t xml:space="preserve">Documentation and reproducibility
Observed gap:
No cross-industry documentation standard for models. Documentation adequacy is assessed only where a capital or actuarial standard applies.</t>
        </r>
      </text>
    </comment>
    <comment ref="B16" authorId="0">
      <text>
        <r>
          <rPr>
            <sz val="10"/>
            <rFont val="Arial"/>
            <family val="2"/>
          </rPr>
          <t xml:space="preserve">Pre-implementation testing
Observed gap:
No general bar on using an untested model. Testing expectations exist only within the capital model approval process.</t>
        </r>
      </text>
    </comment>
    <comment ref="B17" authorId="0">
      <text>
        <r>
          <rPr>
            <sz val="10"/>
            <rFont val="Arial"/>
            <family val="2"/>
          </rPr>
          <t xml:space="preserve">Independent validation
Observed gap:
Independent validation is required for IRB models under APS 113 and, in a different form, through the Appointed Actuary. There is no general requirement, so a model driving material decisions outside those regimes may never be independently reviewed.</t>
        </r>
      </text>
    </comment>
    <comment ref="B18" authorId="0">
      <text>
        <r>
          <rPr>
            <sz val="10"/>
            <rFont val="Arial"/>
            <family val="2"/>
          </rPr>
          <t xml:space="preserve">Effective challenge
Observed gap:
The concept is absent from the Australian framework. Validation can exist on paper without the competence, standing or incentives that make it effective, and nothing currently requires an entity to test whether challenge works.</t>
        </r>
      </text>
    </comment>
    <comment ref="B19" authorId="0">
      <text>
        <r>
          <rPr>
            <sz val="10"/>
            <rFont val="Arial"/>
            <family val="2"/>
          </rPr>
          <t xml:space="preserve">Approval and conditions of use
Observed gap:
Approval requirements exist for capital models only. Elsewhere, models enter use without a recorded approval of version, purpose or conditions.</t>
        </r>
      </text>
    </comment>
    <comment ref="B20" authorId="0">
      <text>
        <r>
          <rPr>
            <sz val="10"/>
            <rFont val="Arial"/>
            <family val="2"/>
          </rPr>
          <t xml:space="preserve">Implementation controls
Observed gap:
Nothing requires verification that the deployed model reproduces the approved one. This is a recurrent source of failure that methodological validation does not catch.</t>
        </r>
      </text>
    </comment>
    <comment ref="B21" authorId="0">
      <text>
        <r>
          <rPr>
            <sz val="10"/>
            <rFont val="Arial"/>
            <family val="2"/>
          </rPr>
          <t xml:space="preserve">Change management and re-approval
Observed gap:
Model change control is prescribed only for capital models. Cumulative change and vendor-initiated change are not addressed anywhere in the framework.</t>
        </r>
      </text>
    </comment>
    <comment ref="B22" authorId="0">
      <text>
        <r>
          <rPr>
            <sz val="10"/>
            <rFont val="Arial"/>
            <family val="2"/>
          </rPr>
          <t xml:space="preserve">Model use and misuse
Observed gap:
Misuse is one of the two recognised sources of model risk and is entirely unaddressed outside the capital use test. Nothing requires users to be told a model's limitations.</t>
        </r>
      </text>
    </comment>
    <comment ref="B23" authorId="0">
      <text>
        <r>
          <rPr>
            <sz val="10"/>
            <rFont val="Arial"/>
            <family val="2"/>
          </rPr>
          <t xml:space="preserve">Overlays, adjustments and expert judgement
Observed gap:
Post-model adjustments can become the dominant driver of a reported figure without any single approval considering that effect. No Australian instrument governs them generally or requires aggregate reporting.</t>
        </r>
      </text>
    </comment>
    <comment ref="B24" authorId="0">
      <text>
        <r>
          <rPr>
            <sz val="10"/>
            <rFont val="Arial"/>
            <family val="2"/>
          </rPr>
          <t xml:space="preserve">Ongoing monitoring and drift
Observed gap:
Monitoring expectations are limited to specific model classes. Thresholds are rarely linked to a defined response, so deterioration produces reporting rather than action.</t>
        </r>
      </text>
    </comment>
    <comment ref="B25" authorId="0">
      <text>
        <r>
          <rPr>
            <sz val="10"/>
            <rFont val="Arial"/>
            <family val="2"/>
          </rPr>
          <t xml:space="preserve">Limitations, mitigants and remediation
Observed gap:
No requirement to record model limitations, apply compensating controls or track remediation to completion. Findings can be closed by explanation without change.</t>
        </r>
      </text>
    </comment>
    <comment ref="B26" authorId="0">
      <text>
        <r>
          <rPr>
            <sz val="10"/>
            <rFont val="Arial"/>
            <family val="2"/>
          </rPr>
          <t xml:space="preserve">Decommissioning and retirement
Observed gap:
Retired models whose outputs remain in force — provisions, capital numbers, unit prices, insurance liabilities — are not addressed anywhere.</t>
        </r>
      </text>
    </comment>
    <comment ref="B27" authorId="0">
      <text>
        <r>
          <rPr>
            <sz val="10"/>
            <rFont val="Arial"/>
            <family val="2"/>
          </rPr>
          <t xml:space="preserve">Third-party and vendor models
Observed gap:
CPS 230 governs service providers but not the model risk in a supplied model. Opacity is commonly accepted from vendors at a level that would not be accepted internally.</t>
        </r>
      </text>
    </comment>
    <comment ref="B28" authorId="0">
      <text>
        <r>
          <rPr>
            <sz val="10"/>
            <rFont val="Arial"/>
            <family val="2"/>
          </rPr>
          <t xml:space="preserve">Concentration and substitutability
Observed gap:
Bilateral service provider assessment does not capture correlated reliance on a common external model, data source or platform across the industry.</t>
        </r>
      </text>
    </comment>
    <comment ref="B29" authorId="0">
      <text>
        <r>
          <rPr>
            <sz val="10"/>
            <rFont val="Arial"/>
            <family val="2"/>
          </rPr>
          <t xml:space="preserve">AI and machine learning models
Observed gap:
AI model risk is being addressed through a separate AI workstream, creating a risk that a model built with AI techniques is governed as an AI system but not as a model, or the reverse.</t>
        </r>
      </text>
    </comment>
    <comment ref="B30" authorId="0">
      <text>
        <r>
          <rPr>
            <sz val="10"/>
            <rFont val="Arial"/>
            <family val="2"/>
          </rPr>
          <t xml:space="preserve">Regulatory capital and internal models
Observed gap:
This is the strongest part of the Australian framework. The residual gap is the absence of a general model risk discipline around the capital model estate, and less developed guidance on model change than the ECB provides.</t>
        </r>
      </text>
    </comment>
    <comment ref="B31" authorId="0">
      <text>
        <r>
          <rPr>
            <sz val="10"/>
            <rFont val="Arial"/>
            <family val="2"/>
          </rPr>
          <t xml:space="preserve">Valuation and financial reporting models
Observed gap:
Valuation model governance and independent price verification are not addressed on a cross-industry basis, despite the output being the reported number itself.</t>
        </r>
      </text>
    </comment>
    <comment ref="B32" authorId="0">
      <text>
        <r>
          <rPr>
            <sz val="10"/>
            <rFont val="Arial"/>
            <family val="2"/>
          </rPr>
          <t xml:space="preserve">Expected credit loss and provisioning models
Observed gap:
This is a genuine strength. APS 220 transposes BCBS d350 Principle 5 into binding Australian form in near-identical language, requiring ADIs to have sound policies and processes to appropriately validate expected credit loss models, and APG 220 directs ADIs to have regard to the Basel guidance. The residual gap is that the obligation to validate exists without a model risk framework defining what validation consists of, who performs it and what follows a finding — and that APRA's own observations record continuing reliance on sizeable judgement-based adjustments that are not consistently well governed.</t>
        </r>
      </text>
    </comment>
    <comment ref="B33" authorId="0">
      <text>
        <r>
          <rPr>
            <sz val="10"/>
            <rFont val="Arial"/>
            <family val="2"/>
          </rPr>
          <t xml:space="preserve">Actuarial and insurance models
Observed gap:
The Appointed Actuary framework is a genuine strength but was not designed as model risk management. Implementation verification and data quality assessment are not reliably covered.</t>
        </r>
      </text>
    </comment>
    <comment ref="B34" authorId="0">
      <text>
        <r>
          <rPr>
            <sz val="10"/>
            <rFont val="Arial"/>
            <family val="2"/>
          </rPr>
          <t xml:space="preserve">Superannuation models
Observed gap:
No comparator authority addresses superannuation model risk, so there is no benchmark. Unit pricing and valuation models determine amounts credited to member accounts and errors transfer value between members irreversibly.</t>
        </r>
      </text>
    </comment>
    <comment ref="B35" authorId="0">
      <text>
        <r>
          <rPr>
            <sz val="10"/>
            <rFont val="Arial"/>
            <family val="2"/>
          </rPr>
          <t xml:space="preserve">Stress testing and scenario models
Observed gap:
APRA conducts stress testing but there is no standard governing the models used, whereas the PRA maintains a dedicated supervisory statement on model risk in stress testing.</t>
        </r>
      </text>
    </comment>
    <comment ref="B36" authorId="0">
      <text>
        <r>
          <rPr>
            <sz val="10"/>
            <rFont val="Arial"/>
            <family val="2"/>
          </rPr>
          <t xml:space="preserve">Aggregate model risk and capital
Observed gap:
Nothing requires an entity to form a view of model risk in aggregate or to consider it in internal capital assessment, so correlated failure across models sharing data, vendors or assumptions is invisible.</t>
        </r>
      </text>
    </comment>
    <comment ref="B37" authorId="0">
      <text>
        <r>
          <rPr>
            <sz val="10"/>
            <rFont val="Arial"/>
            <family val="2"/>
          </rPr>
          <t xml:space="preserve">Records and reconstructability
Observed gap:
General record-keeping obligations do not specify what must be retained to reconstruct a model's output, approval basis and performance.</t>
        </r>
      </text>
    </comment>
    <comment ref="B38" authorId="0">
      <text>
        <r>
          <rPr>
            <sz val="10"/>
            <rFont val="Arial"/>
            <family val="2"/>
          </rPr>
          <t xml:space="preserve">Independent assurance and internal audit
Observed gap:
Internal audit obligations are general. Audit of the model risk framework, and in particular of whether challenge is effective, is not specified and frequently lacks the technical capability to be meaningful.</t>
        </r>
      </text>
    </comment>
    <comment ref="B39" authorId="0">
      <text>
        <r>
          <rPr>
            <sz val="10"/>
            <rFont val="Arial"/>
            <family val="2"/>
          </rPr>
          <t xml:space="preserve">Supervisory engagement and notification
Observed gap:
Notification architecture is sound but does not identify model failure as a notifiable event, so a material model error may not be reported unless it also constitutes an operational incident.</t>
        </r>
      </text>
    </comment>
    <comment ref="L5" authorId="0">
      <text>
        <r>
          <rPr>
            <sz val="10"/>
            <rFont val="Arial"/>
            <family val="2"/>
          </rPr>
          <t xml:space="preserve">Expected position after CPS XXXX:
Adopt a broad function-based definition of a model and of model risk on a cross-industry basis, with an express obligation to identify and control quantitative tools falling outside it. Do not follow the April 2026 United States narrowing, which would exclude actuarial and unit pricing calculations.</t>
        </r>
      </text>
    </comment>
    <comment ref="L6" authorId="0">
      <text>
        <r>
          <rPr>
            <sz val="10"/>
            <rFont val="Arial"/>
            <family val="2"/>
          </rPr>
          <t xml:space="preserve">Expected position after CPS XXXX:
State enterprise-wide application expressly and confirm that accountability is retained where a model is supplied or operated by another party.</t>
        </r>
      </text>
    </comment>
    <comment ref="L7" authorId="0">
      <text>
        <r>
          <rPr>
            <sz val="10"/>
            <rFont val="Arial"/>
            <family val="2"/>
          </rPr>
          <t xml:space="preserve">Expected position after CPS XXXX:
Require a complete, current, controlled enterprise inventory including embedded, third-party and recently decommissioned models, with minimum fields specified.</t>
        </r>
      </text>
    </comment>
    <comment ref="L8" authorId="0">
      <text>
        <r>
          <rPr>
            <sz val="10"/>
            <rFont val="Arial"/>
            <family val="2"/>
          </rPr>
          <t xml:space="preserve">Expected position after CPS XXXX:
Require a documented tiering methodology using quantitative and qualitative factors that demonstrably drives validation, monitoring and approval intensity, with an express de minimis determination at model level that keeps low-consequence models within identification while relieving them of the full lifecycle.</t>
        </r>
      </text>
    </comment>
    <comment ref="L9" authorId="0">
      <text>
        <r>
          <rPr>
            <sz val="10"/>
            <rFont val="Arial"/>
            <family val="2"/>
          </rPr>
          <t xml:space="preserve">Expected position after CPS XXXX:
Require Board approval of the model risk framework and appetite, supported by aggregate, decision-useful reporting rather than model counts.</t>
        </r>
      </text>
    </comment>
    <comment ref="L10" authorId="0">
      <text>
        <r>
          <rPr>
            <sz val="10"/>
            <rFont val="Arial"/>
            <family val="2"/>
          </rPr>
          <t xml:space="preserve">Expected position after CPS XXXX:
Require a named senior executive accountable for the framework, plus a named owner for each model, and settle the interaction with the accountability regime.</t>
        </r>
      </text>
    </comment>
    <comment ref="L11" authorId="0">
      <text>
        <r>
          <rPr>
            <sz val="10"/>
            <rFont val="Arial"/>
            <family val="2"/>
          </rPr>
          <t xml:space="preserve">Expected position after CPS XXXX:
Require a documented framework integrated with the risk management framework, policies applied consistently across the entity, and capability and independence sufficient to develop, use, validate, challenge and assure models.</t>
        </r>
      </text>
    </comment>
    <comment ref="L12" authorId="0">
      <text>
        <r>
          <rPr>
            <sz val="10"/>
            <rFont val="Arial"/>
            <family val="2"/>
          </rPr>
          <t xml:space="preserve">Expected position after CPS XXXX:
Require an appetite for model risk expressed so that it can be measured, with limits, thresholds and escalation triggers.</t>
        </r>
      </text>
    </comment>
    <comment ref="L13" authorId="0">
      <text>
        <r>
          <rPr>
            <sz val="10"/>
            <rFont val="Arial"/>
            <family val="2"/>
          </rPr>
          <t xml:space="preserve">Expected position after CPS XXXX:
Require documented development standards, conceptual soundness, consideration of alternatives and recording of limitations across all material models.</t>
        </r>
      </text>
    </comment>
    <comment ref="L14" authorId="0">
      <text>
        <r>
          <rPr>
            <sz val="10"/>
            <rFont val="Arial"/>
            <family val="2"/>
          </rPr>
          <t xml:space="preserve">Expected position after CPS XXXX:
Require model data to be assessed for appropriateness as well as quality, with lineage to source and documented treatment of proxies and synthetic data.</t>
        </r>
      </text>
    </comment>
    <comment ref="L15" authorId="0">
      <text>
        <r>
          <rPr>
            <sz val="10"/>
            <rFont val="Arial"/>
            <family val="2"/>
          </rPr>
          <t xml:space="preserve">Expected position after CPS XXXX:
Adopt the reconstruction test: documentation sufficient for an independent competent person to reproduce material results.</t>
        </r>
      </text>
    </comment>
    <comment ref="L16" authorId="0">
      <text>
        <r>
          <rPr>
            <sz val="10"/>
            <rFont val="Arial"/>
            <family val="2"/>
          </rPr>
          <t xml:space="preserve">Expected position after CPS XXXX:
Establish an explicit gate: a model must not be used for a material purpose until tested and residual limitations accepted.</t>
        </r>
      </text>
    </comment>
    <comment ref="L17" authorId="0">
      <text>
        <r>
          <rPr>
            <sz val="10"/>
            <rFont val="Arial"/>
            <family val="2"/>
          </rPr>
          <t xml:space="preserve">Expected position after CPS XXXX:
Require independent validation for material models, structured around conceptual soundness, outcomes analysis and ongoing model monitoring, at an intensity set by tier.</t>
        </r>
      </text>
    </comment>
    <comment ref="L18" authorId="0">
      <text>
        <r>
          <rPr>
            <sz val="10"/>
            <rFont val="Arial"/>
            <family val="2"/>
          </rPr>
          <t xml:space="preserve">Expected position after CPS XXXX:
Require effective challenge expressly, and expect entities to assess whether it is operating through finding closure routes and severity migration.</t>
        </r>
      </text>
    </comment>
    <comment ref="L19" authorId="0">
      <text>
        <r>
          <rPr>
            <sz val="10"/>
            <rFont val="Arial"/>
            <family val="2"/>
          </rPr>
          <t xml:space="preserve">Expected position after CPS XXXX:
Require version-specific approval for a defined purpose and conditions, recording limits, thresholds, accepted limitations and review date.</t>
        </r>
      </text>
    </comment>
    <comment ref="L20" authorId="0">
      <text>
        <r>
          <rPr>
            <sz val="10"/>
            <rFont val="Arial"/>
            <family val="2"/>
          </rPr>
          <t xml:space="preserve">Expected position after CPS XXXX:
Require pre-production verification against the approved model and re-verification after material infrastructure or pipeline change.</t>
        </r>
      </text>
    </comment>
    <comment ref="L21" authorId="0">
      <text>
        <r>
          <rPr>
            <sz val="10"/>
            <rFont val="Arial"/>
            <family val="2"/>
          </rPr>
          <t xml:space="preserve">Expected position after CPS XXXX:
Require materiality assessment of changes individually and cumulatively, and treat provider-initiated change as an entity change event.</t>
        </r>
      </text>
    </comment>
    <comment ref="L22" authorId="0">
      <text>
        <r>
          <rPr>
            <sz val="10"/>
            <rFont val="Arial"/>
            <family val="2"/>
          </rPr>
          <t xml:space="preserve">Expected position after CPS XXXX:
Require use within approved purpose and conditions, and require limitations to be communicated to users rather than merely recorded.</t>
        </r>
      </text>
    </comment>
    <comment ref="L23" authorId="0">
      <text>
        <r>
          <rPr>
            <sz val="10"/>
            <rFont val="Arial"/>
            <family val="2"/>
          </rPr>
          <t xml:space="preserve">Expected position after CPS XXXX:
Require governance of the basis, quantification, approval, duration and removal of overlays, and aggregate reporting of them.</t>
        </r>
      </text>
    </comment>
    <comment ref="L24" authorId="0">
      <text>
        <r>
          <rPr>
            <sz val="10"/>
            <rFont val="Arial"/>
            <family val="2"/>
          </rPr>
          <t xml:space="preserve">Expected position after CPS XXXX:
Require monitoring at tier-based frequency with pre-set thresholds linked to investigation, restriction, revalidation or withdrawal.</t>
        </r>
      </text>
    </comment>
    <comment ref="L25" authorId="0">
      <text>
        <r>
          <rPr>
            <sz val="10"/>
            <rFont val="Arial"/>
            <family val="2"/>
          </rPr>
          <t xml:space="preserve">Expected position after CPS XXXX:
Require recorded limitations, specific compensating controls, tracked remediation and escalation of overdue material findings.</t>
        </r>
      </text>
    </comment>
    <comment ref="L26" authorId="0">
      <text>
        <r>
          <rPr>
            <sz val="10"/>
            <rFont val="Arial"/>
            <family val="2"/>
          </rPr>
          <t xml:space="preserve">Expected position after CPS XXXX:
Require managed decommissioning covering downstream models, outputs still in force, records and data disposition.</t>
        </r>
      </text>
    </comment>
    <comment ref="L27" authorId="0">
      <text>
        <r>
          <rPr>
            <sz val="10"/>
            <rFont val="Arial"/>
            <family val="2"/>
          </rPr>
          <t xml:space="preserve">Expected position after CPS XXXX:
Apply the full framework to third-party models, require usable information rights without mandating source-code access, and require compensating controls where information is unavailable.</t>
        </r>
      </text>
    </comment>
    <comment ref="L28" authorId="0">
      <text>
        <r>
          <rPr>
            <sz val="10"/>
            <rFont val="Arial"/>
            <family val="2"/>
          </rPr>
          <t xml:space="preserve">Expected position after CPS XXXX:
Require entity-level concentration assessment and support sector-wide monitoring of common model and data dependencies.</t>
        </r>
      </text>
    </comment>
    <comment ref="L29" authorId="0">
      <text>
        <r>
          <rPr>
            <sz val="10"/>
            <rFont val="Arial"/>
            <family val="2"/>
          </rPr>
          <t xml:space="preserve">Expected position after CPS XXXX:
Bring AI models within the model risk framework as a model class, with an explicit boundary rule against the AI risk instrument so nothing falls between.</t>
        </r>
      </text>
    </comment>
    <comment ref="L30" authorId="0">
      <text>
        <r>
          <rPr>
            <sz val="10"/>
            <rFont val="Arial"/>
            <family val="2"/>
          </rPr>
          <t xml:space="preserve">Expected position after CPS XXXX:
Preserve the capital standards unchanged and position CPS XXXX to sit alongside them, with the specific capital requirement governing approval, change and conditions of use.</t>
        </r>
      </text>
    </comment>
    <comment ref="L31" authorId="0">
      <text>
        <r>
          <rPr>
            <sz val="10"/>
            <rFont val="Arial"/>
            <family val="2"/>
          </rPr>
          <t xml:space="preserve">Expected position after CPS XXXX:
Bring valuation and financial reporting models expressly within scope and require independent price verification as a control distinct from validation.</t>
        </r>
      </text>
    </comment>
    <comment ref="L32" authorId="0">
      <text>
        <r>
          <rPr>
            <sz val="10"/>
            <rFont val="Arial"/>
            <family val="2"/>
          </rPr>
          <t xml:space="preserve">Expected position after CPS XXXX:
Connect the existing APS 220 validation obligation to the model risk framework rather than restating it, govern overlays and scenario assumptions as model risk, and publish the review focus areas so entities know what an APRA-required review under the special purpose engagement provisions of the Audit and Related Matters standards, or under APS 220, would examine.</t>
        </r>
      </text>
    </comment>
    <comment ref="L33" authorId="0">
      <text>
        <r>
          <rPr>
            <sz val="10"/>
            <rFont val="Arial"/>
            <family val="2"/>
          </rPr>
          <t xml:space="preserve">Expected position after CPS XXXX:
Require insurers to map which validation elements the actuarial control cycle discharges and which need separate work.</t>
        </r>
      </text>
    </comment>
    <comment ref="L34" authorId="0">
      <text>
        <r>
          <rPr>
            <sz val="10"/>
            <rFont val="Arial"/>
            <family val="2"/>
          </rPr>
          <t xml:space="preserve">Expected position after CPS XXXX:
Name the RSE model classes expressly. Scored against the cross-industry benchmark rather than a comparator, because none exists.</t>
        </r>
      </text>
    </comment>
    <comment ref="L35" authorId="0">
      <text>
        <r>
          <rPr>
            <sz val="10"/>
            <rFont val="Arial"/>
            <family val="2"/>
          </rPr>
          <t xml:space="preserve">Expected position after CPS XXXX:
Bring stress testing, scenario and capital planning models within scope, with explicit treatment of assumption governance and of uncertainty disclosure.</t>
        </r>
      </text>
    </comment>
    <comment ref="L36" authorId="0">
      <text>
        <r>
          <rPr>
            <sz val="10"/>
            <rFont val="Arial"/>
            <family val="2"/>
          </rPr>
          <t xml:space="preserve">Expected position after CPS XXXX:
Require aggregate assessment and consideration in internal capital assessment, permitting qualitative measures where quantification is not yet feasible.</t>
        </r>
      </text>
    </comment>
    <comment ref="L37" authorId="0">
      <text>
        <r>
          <rPr>
            <sz val="10"/>
            <rFont val="Arial"/>
            <family val="2"/>
          </rPr>
          <t xml:space="preserve">Expected position after CPS XXXX:
Specify reconstructability for material models, with retention aligned to the period over which the decisions informed remain material.</t>
        </r>
      </text>
    </comment>
    <comment ref="L38" authorId="0">
      <text>
        <r>
          <rPr>
            <sz val="10"/>
            <rFont val="Arial"/>
            <family val="2"/>
          </rPr>
          <t xml:space="preserve">Expected position after CPS XXXX:
Require periodic independent assessment of framework design and operating effectiveness, including the effectiveness of validation and challenge.</t>
        </r>
      </text>
    </comment>
    <comment ref="L39" authorId="0">
      <text>
        <r>
          <rPr>
            <sz val="10"/>
            <rFont val="Arial"/>
            <family val="2"/>
          </rPr>
          <t xml:space="preserve">Expected position after CPS XXXX:
Cross-reference existing CPS 230 and CPS 234 timeframes rather than create a conflicting deadline, and expect early engagement on material model weakness.</t>
        </r>
      </text>
    </comment>
  </commentList>
</comments>
</file>

<file path=xl/sharedStrings.xml><?xml version="1.0" encoding="utf-8"?>
<sst xmlns="http://schemas.openxmlformats.org/spreadsheetml/2006/main" count="4995" uniqueCount="2410">
  <si>
    <t xml:space="preserve">Model risk management package — workbook guide</t>
  </si>
  <si>
    <t xml:space="preserve">POLICY DEVELOPMENT DRAFT — NOT IN FORCE | Information verified to 25 July 2026</t>
  </si>
  <si>
    <t xml:space="preserve">Item</t>
  </si>
  <si>
    <t xml:space="preserve">Explanation</t>
  </si>
  <si>
    <t xml:space="preserve">Package status</t>
  </si>
  <si>
    <t xml:space="preserve">POLICY DEVELOPMENT DRAFT — NOT IN FORCE. This workbook, the draft CPS XXXX and the draft CPG XXXX are policy-development artefacts with no legal effect.</t>
  </si>
  <si>
    <t xml:space="preserve">As-of date</t>
  </si>
  <si>
    <t xml:space="preserve">25 July 2026. Source status was checked on this date. Regulatory positions change; re-verify before relying on any status statement.</t>
  </si>
  <si>
    <t xml:space="preserve">Purpose</t>
  </si>
  <si>
    <t xml:space="preserve">Evidence base, comparator assessment, gap scoring, traceability and red-team audit trail for a proposed cross-industry prudential standard on model risk management.</t>
  </si>
  <si>
    <t xml:space="preserve">Scope of the comparison</t>
  </si>
  <si>
    <t xml:space="preserve">Eight authorities: APRA, the US OCC and Federal Reserve, the PRA, OSFI, the ECB/SSM, MAS, the BCBS and the FSB.</t>
  </si>
  <si>
    <t xml:space="preserve">How to use</t>
  </si>
  <si>
    <t xml:space="preserve">Start with Executive Summary, then Scoring Methodology so the numbers can be interpreted. Gap Assessment carries the scores; Areas for Improvement is the prioritised output. Regulatory Crosswalk compares by domain; Requirement Test challenges each drafted requirement authority by authority. Red Team Audit records every correction.</t>
  </si>
  <si>
    <t xml:space="preserve">What the scoring measures</t>
  </si>
  <si>
    <t xml:space="preserve">How well the CURRENT Australian prudential framework addresses each model risk domain, against the strongest comparator practice. It does not score entity maturity and does not rank the comparator authorities against one another.</t>
  </si>
  <si>
    <t xml:space="preserve">Legal caution</t>
  </si>
  <si>
    <t xml:space="preserve">An overseas instrument is not binding in Australia whatever its status at home. Several of the most influential model risk instruments — including the US interagency guidance and PRA SS1/23 — are supervisory guidance rather than law even in their home jurisdiction. The Legal Status Matrix records this for each source.</t>
  </si>
  <si>
    <t xml:space="preserve">Provenance labels</t>
  </si>
  <si>
    <t xml:space="preserve">Extracted = close reflection of an explicit source requirement. Extracted + inferred = faithful synthesis across sources. Inferred = reasoned construction. Policy choice = proposed by the drafter, not directly mandated by any comparator. 'Policy choice' does not mean unsupported.</t>
  </si>
  <si>
    <t xml:space="preserve">Verification labels</t>
  </si>
  <si>
    <t xml:space="preserve">Verified — primary source: confirmed from the issuing authority's own document. Verified — secondary source: confirmed only from a reputable third party. Unverified: could not be confirmed and is not relied upon for any statement of requirement.</t>
  </si>
  <si>
    <t xml:space="preserve">Editable cells</t>
  </si>
  <si>
    <t xml:space="preserve">Blue text on a yellow fill marks an input you may change — domain weights and the priority band thresholds on Scoring Methodology. Everything downstream recalculates.</t>
  </si>
  <si>
    <t xml:space="preserve">Reproducibility</t>
  </si>
  <si>
    <t xml:space="preserve">Every artefact in this package is generated by the scripts in the build/ directory of the source repository, and can be regenerated or re-verified through the accompanying MCP server.</t>
  </si>
  <si>
    <t xml:space="preserve">Executive summary</t>
  </si>
  <si>
    <t xml:space="preserve">POLICY DEVELOPMENT DRAFT — NOT IN FORCE | Counts are formulas linked to the detailed sheets.</t>
  </si>
  <si>
    <t xml:space="preserve">Metric</t>
  </si>
  <si>
    <t xml:space="preserve">Value</t>
  </si>
  <si>
    <t xml:space="preserve">Interpretation</t>
  </si>
  <si>
    <t xml:space="preserve">Draft mandatory requirements</t>
  </si>
  <si>
    <t xml:space="preserve">Bold mandatory paragraphs in draft CPS XXXX.</t>
  </si>
  <si>
    <t xml:space="preserve">Requirements that are policy choices</t>
  </si>
  <si>
    <t xml:space="preserve">Proposed by the drafter rather than mandated by a comparator. Require consultation and cost-benefit testing.</t>
  </si>
  <si>
    <t xml:space="preserve">Requirements flagged for legal settlement</t>
  </si>
  <si>
    <t xml:space="preserve">Carry an express legal-drafting reservation.</t>
  </si>
  <si>
    <t xml:space="preserve">Guidance paragraphs in draft CPG XXXX</t>
  </si>
  <si>
    <t xml:space="preserve">Every requirement has at least one supporting guidance paragraph.</t>
  </si>
  <si>
    <t xml:space="preserve">Domains assessed</t>
  </si>
  <si>
    <t xml:space="preserve">Model risk domains scored against the strongest comparator.</t>
  </si>
  <si>
    <t xml:space="preserve">Mean current Australian score (0-5)</t>
  </si>
  <si>
    <t xml:space="preserve">Weighted mean across all domains of the framework as it stands today.</t>
  </si>
  <si>
    <t xml:space="preserve">Mean expected score after CPS XXXX</t>
  </si>
  <si>
    <t xml:space="preserve">Expected position once CPS XXXX and CPG XXXX are in force.</t>
  </si>
  <si>
    <t xml:space="preserve">Critical priority gaps</t>
  </si>
  <si>
    <t xml:space="preserve">Gaps that could permit material unmanaged model risk.</t>
  </si>
  <si>
    <t xml:space="preserve">High priority gaps</t>
  </si>
  <si>
    <t xml:space="preserve">Significant divergence from the strongest comparator.</t>
  </si>
  <si>
    <t xml:space="preserve">Red-team corrections recorded</t>
  </si>
  <si>
    <t xml:space="preserve">Challenges and corrections preserved with evidence.</t>
  </si>
  <si>
    <t xml:space="preserve">High-severity red-team items</t>
  </si>
  <si>
    <t xml:space="preserve">Corrections of greatest legal or factual significance.</t>
  </si>
  <si>
    <t xml:space="preserve">Official sources registered</t>
  </si>
  <si>
    <t xml:space="preserve">Sources with an official URL and a recorded check result.</t>
  </si>
  <si>
    <t xml:space="preserve">Sources verified from primary text</t>
  </si>
  <si>
    <t xml:space="preserve">Confirmed by fetching the issuing authority's own document.</t>
  </si>
  <si>
    <t xml:space="preserve">Sources not independently confirmed</t>
  </si>
  <si>
    <t xml:space="preserve">Not relied upon for any statement of requirement.</t>
  </si>
  <si>
    <t xml:space="preserve">Principal conclusions</t>
  </si>
  <si>
    <t xml:space="preserve">1</t>
  </si>
  <si>
    <t xml:space="preserve">Australia has strong model requirements for regulatory capital models and a strong actuarial control cycle, and very little else. Outside those regimes a model driving material decisions may never be independently validated.</t>
  </si>
  <si>
    <t xml:space="preserve">2</t>
  </si>
  <si>
    <t xml:space="preserve">The largest gaps are conceptual rather than technical: no cross-industry definition of a model, no inventory obligation, no concept of effective challenge, and no requirement to consider model risk in aggregate.</t>
  </si>
  <si>
    <t xml:space="preserve">3</t>
  </si>
  <si>
    <t xml:space="preserve">Model misuse — applying a sound model outside its approved purpose — is one of the two recognised sources of model risk and is almost entirely unaddressed in the current framework.</t>
  </si>
  <si>
    <t xml:space="preserve">4</t>
  </si>
  <si>
    <t xml:space="preserve">The US interagency guidance remains the source of most of the discipline's architecture, but it is supervisory guidance, not law, and should be cited as such.</t>
  </si>
  <si>
    <t xml:space="preserve">5</t>
  </si>
  <si>
    <t xml:space="preserve">Bringing AI models within the model risk framework, with an express boundary rule against the separate AI instrument, avoids the risk of a system being governed as one and not the other.</t>
  </si>
  <si>
    <t xml:space="preserve">6</t>
  </si>
  <si>
    <t xml:space="preserve">Notification should cross-reference the existing CPS 230 and CPS 234 architecture. A model-specific deadline was considered and rejected as conflicting.</t>
  </si>
  <si>
    <t xml:space="preserve">Scoring methodology</t>
  </si>
  <si>
    <t xml:space="preserve">POLICY DEVELOPMENT DRAFT — NOT IN FORCE | Weights and thresholds below are inputs. Change them and the Gap Assessment recalculates.</t>
  </si>
  <si>
    <t xml:space="preserve">Element</t>
  </si>
  <si>
    <t xml:space="preserve">Definition</t>
  </si>
  <si>
    <t xml:space="preserve">What is scored</t>
  </si>
  <si>
    <t xml:space="preserve">The CURRENT Australian prudential framework, as it stands before CPS 240, in each model risk domain. Not entity maturity, and not a ranking of the comparator authorities against one another.</t>
  </si>
  <si>
    <t xml:space="preserve">Against what</t>
  </si>
  <si>
    <t xml:space="preserve">The strongest comparator practice in that domain, identified by authority. Where no comparator addresses a domain at all — superannuation models — the benchmark is recorded as absent and the domain is assessed against the standard's own cross-industry objective instead.</t>
  </si>
  <si>
    <t xml:space="preserve">Scale</t>
  </si>
  <si>
    <t xml:space="preserve">0 to 5 on each of four dimensions. The domain score is the unweighted mean of the four dimensions, so no single dimension can carry a domain.</t>
  </si>
  <si>
    <t xml:space="preserve">Why four dimensions</t>
  </si>
  <si>
    <t xml:space="preserve">A domain can be addressed but vaguely, or precisely but only in guidance. Splitting coverage from specificity from enforceability prevents a general obligation in a binding standard from scoring as though it were a specific one.</t>
  </si>
  <si>
    <t xml:space="preserve">The four dimensions</t>
  </si>
  <si>
    <t xml:space="preserve">Coverage</t>
  </si>
  <si>
    <t xml:space="preserve">Is the domain addressed at all in the framework?</t>
  </si>
  <si>
    <t xml:space="preserve">Specificity</t>
  </si>
  <si>
    <t xml:space="preserve">Is the expectation precise enough to be evidenced and supervised?</t>
  </si>
  <si>
    <t xml:space="preserve">Enforceability</t>
  </si>
  <si>
    <t xml:space="preserve">For Australia: binding instrument, guidance, or nothing? Comparator benchmarks are not scored on this dimension, since most of the strongest model risk expectations internationally sit in supervisory guidance rather than law.</t>
  </si>
  <si>
    <t xml:space="preserve">Alignment</t>
  </si>
  <si>
    <t xml:space="preserve">Does it match the strongest comparator practice?</t>
  </si>
  <si>
    <t xml:space="preserve">The 0–5 rubric</t>
  </si>
  <si>
    <t xml:space="preserve">Score</t>
  </si>
  <si>
    <t xml:space="preserve">Meaning</t>
  </si>
  <si>
    <t xml:space="preserve">5 — Leading practice</t>
  </si>
  <si>
    <t xml:space="preserve">Addressed comprehensively and specifically enough that compliance can be evidenced and supervised. Matches or exceeds the strongest comparator. Scored on the quality and specificity of the expectation, irrespective of the instrument type carrying it — enforceability is scored separately.</t>
  </si>
  <si>
    <t xml:space="preserve">4 — Strong</t>
  </si>
  <si>
    <t xml:space="preserve">Addressed with clear expectations. Minor gaps in specificity or in coverage of edge cases relative to the strongest comparator.</t>
  </si>
  <si>
    <t xml:space="preserve">3 — Adequate</t>
  </si>
  <si>
    <t xml:space="preserve">Addressed, but at a level of generality that leaves material discretion, or in a way that would be difficult to supervise consistently.</t>
  </si>
  <si>
    <t xml:space="preserve">2 — Partial</t>
  </si>
  <si>
    <t xml:space="preserve">Addressed indirectly or by implication, through a general obligation not specific to model risk. Compliance would be difficult to evidence or to supervise consistently.</t>
  </si>
  <si>
    <t xml:space="preserve">1 — Incidental</t>
  </si>
  <si>
    <t xml:space="preserve">Touched on only for a narrow class of models or entities, or mentioned without expectation.</t>
  </si>
  <si>
    <t xml:space="preserve">0 — Absent</t>
  </si>
  <si>
    <t xml:space="preserve">Not addressed in the framework at all.</t>
  </si>
  <si>
    <t xml:space="preserve">Derived measures</t>
  </si>
  <si>
    <t xml:space="preserve">Domain score</t>
  </si>
  <si>
    <t xml:space="preserve">Mean of the four dimension scores for Australia. Column H of Gap Assessment.</t>
  </si>
  <si>
    <t xml:space="preserve">Benchmark</t>
  </si>
  <si>
    <t xml:space="preserve">The strongest comparator score in that domain, with the authority named. Column I of Gap Assessment.</t>
  </si>
  <si>
    <t xml:space="preserve">Gap</t>
  </si>
  <si>
    <t xml:space="preserve">MAX(0, Benchmark − Domain score). Negative gaps are floored at zero: where Australia already matches or exceeds the benchmark there is nothing to close.</t>
  </si>
  <si>
    <t xml:space="preserve">Weighted gap</t>
  </si>
  <si>
    <t xml:space="preserve">Gap × domain weight. This is what drives the priority band.</t>
  </si>
  <si>
    <t xml:space="preserve">Expected score after CPS XXXX</t>
  </si>
  <si>
    <t xml:space="preserve">Assessed position once the draft standard and guide are in force, on the same 0–5 scale. The difference from the current score is the value the instrument is expected to add.</t>
  </si>
  <si>
    <t xml:space="preserve">Priority band thresholds — editable</t>
  </si>
  <si>
    <t xml:space="preserve">Band</t>
  </si>
  <si>
    <t xml:space="preserve">Weighted gap at or above</t>
  </si>
  <si>
    <t xml:space="preserve">Critical</t>
  </si>
  <si>
    <t xml:space="preserve">Framework gap of a kind that could permit material unmanaged model risk. Address before or at consultation.</t>
  </si>
  <si>
    <t xml:space="preserve">High</t>
  </si>
  <si>
    <t xml:space="preserve">Significant divergence from the strongest comparator with a clear prudential rationale for closing it.</t>
  </si>
  <si>
    <t xml:space="preserve">Medium</t>
  </si>
  <si>
    <t xml:space="preserve">Meaningful but not urgent. Suitable for the practice guide or for supervisory attention rather than a new obligation.</t>
  </si>
  <si>
    <t xml:space="preserve">Low</t>
  </si>
  <si>
    <t xml:space="preserve">Broadly comparable to international practice. No action proposed.</t>
  </si>
  <si>
    <t xml:space="preserve">Domain weights — editable</t>
  </si>
  <si>
    <t xml:space="preserve">Domain</t>
  </si>
  <si>
    <t xml:space="preserve">Weight</t>
  </si>
  <si>
    <t xml:space="preserve">Why this weight</t>
  </si>
  <si>
    <t xml:space="preserve">Definition of a model and of model risk</t>
  </si>
  <si>
    <t xml:space="preserve">Direct effect on capital, provisions, reported figures or member outcomes.</t>
  </si>
  <si>
    <t xml:space="preserve">Enterprise-wide scope and retained accountability</t>
  </si>
  <si>
    <t xml:space="preserve">Material to the integrity of the framework as a whole.</t>
  </si>
  <si>
    <t xml:space="preserve">Model inventory</t>
  </si>
  <si>
    <t xml:space="preserve">Model risk tiering and proportionality</t>
  </si>
  <si>
    <t xml:space="preserve">Board oversight of model risk</t>
  </si>
  <si>
    <t xml:space="preserve">Senior accountability for the framework</t>
  </si>
  <si>
    <t xml:space="preserve">MRM framework, policies and capability</t>
  </si>
  <si>
    <t xml:space="preserve">Model risk appetite</t>
  </si>
  <si>
    <t xml:space="preserve">Important but lower direct prudential consequence.</t>
  </si>
  <si>
    <t xml:space="preserve">Development and conceptual soundness</t>
  </si>
  <si>
    <t xml:space="preserve">Data quality, provenance and appropriateness</t>
  </si>
  <si>
    <t xml:space="preserve">Documentation and reproducibility</t>
  </si>
  <si>
    <t xml:space="preserve">Pre-implementation testing</t>
  </si>
  <si>
    <t xml:space="preserve">Independent validation</t>
  </si>
  <si>
    <t xml:space="preserve">Effective challenge</t>
  </si>
  <si>
    <t xml:space="preserve">Approval and conditions of use</t>
  </si>
  <si>
    <t xml:space="preserve">Implementation controls</t>
  </si>
  <si>
    <t xml:space="preserve">Change management and re-approval</t>
  </si>
  <si>
    <t xml:space="preserve">Model use and misuse</t>
  </si>
  <si>
    <t xml:space="preserve">Overlays, adjustments and expert judgement</t>
  </si>
  <si>
    <t xml:space="preserve">Ongoing monitoring and drift</t>
  </si>
  <si>
    <t xml:space="preserve">Limitations, mitigants and remediation</t>
  </si>
  <si>
    <t xml:space="preserve">Decommissioning and retirement</t>
  </si>
  <si>
    <t xml:space="preserve">Supporting control.</t>
  </si>
  <si>
    <t xml:space="preserve">Third-party and vendor models</t>
  </si>
  <si>
    <t xml:space="preserve">Concentration and substitutability</t>
  </si>
  <si>
    <t xml:space="preserve">AI and machine learning models</t>
  </si>
  <si>
    <t xml:space="preserve">Regulatory capital and internal models</t>
  </si>
  <si>
    <t xml:space="preserve">Valuation and financial reporting models</t>
  </si>
  <si>
    <t xml:space="preserve">Expected credit loss and provisioning models</t>
  </si>
  <si>
    <t xml:space="preserve">Actuarial and insurance models</t>
  </si>
  <si>
    <t xml:space="preserve">Superannuation models</t>
  </si>
  <si>
    <t xml:space="preserve">Stress testing and scenario models</t>
  </si>
  <si>
    <t xml:space="preserve">Aggregate model risk and capital</t>
  </si>
  <si>
    <t xml:space="preserve">Records and reconstructability</t>
  </si>
  <si>
    <t xml:space="preserve">Independent assurance and internal audit</t>
  </si>
  <si>
    <t xml:space="preserve">Supervisory engagement and notification</t>
  </si>
  <si>
    <t xml:space="preserve">Worked example</t>
  </si>
  <si>
    <t xml:space="preserve">'Definition of a model and of model risk' scores 1, 1, 2 and 1 on coverage, specificity, enforceability and alignment, giving a domain score of 1.25. The strongest comparator is PRA / OSFI at 5. The gap is 5 − 1.25 = 3.75. The domain weight is 1.5, so the weighted gap is 5.62, which falls in the Critical band. After CPS XXXX the expected score is 4.5.</t>
  </si>
  <si>
    <t xml:space="preserve">Limitations of this scoring</t>
  </si>
  <si>
    <t xml:space="preserve">• Scores are informed judgements against published instruments, not measurements. Two assessors could reasonably differ by a point on any single dimension.</t>
  </si>
  <si>
    <t xml:space="preserve">• The benchmark is the strongest comparator practice, which sets a demanding bar. A score of 3 is not a failing framework; it is a framework materially less specific than the leading one.</t>
  </si>
  <si>
    <t xml:space="preserve">• Legal status is scored as it stands in the home jurisdiction. It does not imply that any overseas instrument has effect in Australia.</t>
  </si>
  <si>
    <t xml:space="preserve">• The expected post-CPS XXXX score assumes the draft is issued substantially as drafted and is implemented as intended. It is a design expectation, not an outcome.</t>
  </si>
  <si>
    <t xml:space="preserve">Gap assessment — current Australian framework against strongest comparator</t>
  </si>
  <si>
    <t xml:space="preserve">POLICY DEVELOPMENT DRAFT — NOT IN FORCE | Scores 0–5 per the Scoring Methodology sheet. Every score cell carries a comment giving the reasoning.</t>
  </si>
  <si>
    <t xml:space="preserve">Benchmark authority</t>
  </si>
  <si>
    <t xml:space="preserve">AU score now</t>
  </si>
  <si>
    <t xml:space="preserve">Priority</t>
  </si>
  <si>
    <t xml:space="preserve">Expected after CPS XXXX</t>
  </si>
  <si>
    <t xml:space="preserve">Uplift</t>
  </si>
  <si>
    <t xml:space="preserve">CPS XXXX requirements</t>
  </si>
  <si>
    <t xml:space="preserve">Source IDs</t>
  </si>
  <si>
    <t xml:space="preserve">PRA / OSFI</t>
  </si>
  <si>
    <t xml:space="preserve">M02, M03</t>
  </si>
  <si>
    <t xml:space="preserve">US-MRM-2026, PRA-SS1-23, OSFI-E23</t>
  </si>
  <si>
    <t xml:space="preserve">OSFI</t>
  </si>
  <si>
    <t xml:space="preserve">M01</t>
  </si>
  <si>
    <t xml:space="preserve">OSFI-E23, US-MRM-2026, APRA-CPS220</t>
  </si>
  <si>
    <t xml:space="preserve">PRA</t>
  </si>
  <si>
    <t xml:space="preserve">M14</t>
  </si>
  <si>
    <t xml:space="preserve">PRA-SS1-23, OSFI-E23, US-MRM-2026</t>
  </si>
  <si>
    <t xml:space="preserve">M04, M05, M15, M16</t>
  </si>
  <si>
    <t xml:space="preserve">PRA-SS1-23, OSFI-E23</t>
  </si>
  <si>
    <t xml:space="preserve">M06, M13</t>
  </si>
  <si>
    <t xml:space="preserve">PRA-SS1-23, OSFI-E23, APRA-CPS220</t>
  </si>
  <si>
    <t xml:space="preserve">M07, M08</t>
  </si>
  <si>
    <t xml:space="preserve">M09, M10, M12</t>
  </si>
  <si>
    <t xml:space="preserve">M11</t>
  </si>
  <si>
    <t xml:space="preserve">US interagency (OCC/FRB/FDIC)</t>
  </si>
  <si>
    <t xml:space="preserve">M17</t>
  </si>
  <si>
    <t xml:space="preserve">US-MRM-2026, PRA-SS1-23, ECB-GIM</t>
  </si>
  <si>
    <t xml:space="preserve">BCBS / ECB</t>
  </si>
  <si>
    <t xml:space="preserve">M18</t>
  </si>
  <si>
    <t xml:space="preserve">BCBS-239, ECB-RDARR, APRA-CPG235, OSFI-E23</t>
  </si>
  <si>
    <t xml:space="preserve">ECB / PRA</t>
  </si>
  <si>
    <t xml:space="preserve">M19</t>
  </si>
  <si>
    <t xml:space="preserve">PRA / ECB</t>
  </si>
  <si>
    <t xml:space="preserve">M20</t>
  </si>
  <si>
    <t xml:space="preserve">M21, M22, M25</t>
  </si>
  <si>
    <t xml:space="preserve">PRA-SS1-23, US-MRM-2026, OSFI-E23, ECB-GIM</t>
  </si>
  <si>
    <t xml:space="preserve">M23</t>
  </si>
  <si>
    <t xml:space="preserve">US-MRM-2026, PRA-SS1-23</t>
  </si>
  <si>
    <t xml:space="preserve">ECB</t>
  </si>
  <si>
    <t xml:space="preserve">M24</t>
  </si>
  <si>
    <t xml:space="preserve">ECB-GIM, OSFI-E23, US-MRM-2026</t>
  </si>
  <si>
    <t xml:space="preserve">M25</t>
  </si>
  <si>
    <t xml:space="preserve">ECB-GIM, US-MRM-2026, OSFI-E23</t>
  </si>
  <si>
    <t xml:space="preserve">M26</t>
  </si>
  <si>
    <t xml:space="preserve">ECB-GIM, OSFI-E23, PRA-SS1-23</t>
  </si>
  <si>
    <t xml:space="preserve">US interagency / ECB</t>
  </si>
  <si>
    <t xml:space="preserve">M27</t>
  </si>
  <si>
    <t xml:space="preserve">US-MRM-2026, ECB-GIM, PRA-SS1-23</t>
  </si>
  <si>
    <t xml:space="preserve">M28</t>
  </si>
  <si>
    <t xml:space="preserve">PRA-SS1-23, ECB-GIM</t>
  </si>
  <si>
    <t xml:space="preserve">US interagency / OSFI</t>
  </si>
  <si>
    <t xml:space="preserve">M29</t>
  </si>
  <si>
    <t xml:space="preserve">US-MRM-2026, OSFI-E23, PRA-SS1-23</t>
  </si>
  <si>
    <t xml:space="preserve">M30</t>
  </si>
  <si>
    <t xml:space="preserve">PRA-SS1-23, US-MRM-2026</t>
  </si>
  <si>
    <t xml:space="preserve">M31</t>
  </si>
  <si>
    <t xml:space="preserve">OSFI-E23, APRA-CPS230</t>
  </si>
  <si>
    <t xml:space="preserve">US interagency / PRA</t>
  </si>
  <si>
    <t xml:space="preserve">M32, M33</t>
  </si>
  <si>
    <t xml:space="preserve">US-MRM-2026, PRA-SS1-23, BCBS-TPRM, APRA-CPS230</t>
  </si>
  <si>
    <t xml:space="preserve">FSB / BCBS</t>
  </si>
  <si>
    <t xml:space="preserve">M33</t>
  </si>
  <si>
    <t xml:space="preserve">FSB-AI-2024, BCBS-TPRM, APRA-CPS230</t>
  </si>
  <si>
    <t xml:space="preserve">M34, M35</t>
  </si>
  <si>
    <t xml:space="preserve">OSFI-E23, MAS-AIMRM-2024, BCBS-DIGI, FSB-AI-2024</t>
  </si>
  <si>
    <t xml:space="preserve">M36</t>
  </si>
  <si>
    <t xml:space="preserve">APRA-APS113, ECB-GIM, ECB-CRR, PRA-SS1-23</t>
  </si>
  <si>
    <t xml:space="preserve">BCBS</t>
  </si>
  <si>
    <t xml:space="preserve">M37</t>
  </si>
  <si>
    <t xml:space="preserve">BCBS-FVP, ECB-GIM</t>
  </si>
  <si>
    <t xml:space="preserve">M38</t>
  </si>
  <si>
    <t xml:space="preserve">APRA-APS220, APRA-APG220, BCBS-ECL-2015, APRA-PROV-2023, AASB-9, APRA-APS310</t>
  </si>
  <si>
    <t xml:space="preserve">M39</t>
  </si>
  <si>
    <t xml:space="preserve">APRA-CPS320, OSFI-E23</t>
  </si>
  <si>
    <t xml:space="preserve">No comparator — assessed against the standard's own cross-industry objective</t>
  </si>
  <si>
    <t xml:space="preserve">M40</t>
  </si>
  <si>
    <t xml:space="preserve">APRA-SPS530, APRA-SPS515</t>
  </si>
  <si>
    <t xml:space="preserve">PRA / BCBS</t>
  </si>
  <si>
    <t xml:space="preserve">M41</t>
  </si>
  <si>
    <t xml:space="preserve">BCBS-STRESS, PRA-SS3-18, APRA-CPS220</t>
  </si>
  <si>
    <t xml:space="preserve">M42</t>
  </si>
  <si>
    <t xml:space="preserve">PRA-SS1-23, ECB-GIM, US-MRM-2026, APRA-SPS114</t>
  </si>
  <si>
    <t xml:space="preserve">M43</t>
  </si>
  <si>
    <t xml:space="preserve">ECB-GIM, US-MRM-2026, APRA-CPS220</t>
  </si>
  <si>
    <t xml:space="preserve">M44</t>
  </si>
  <si>
    <t xml:space="preserve">PRA-SS1-23, US-MRM-2026, ECB-GIM, APRA-CPS220</t>
  </si>
  <si>
    <t xml:space="preserve">M45</t>
  </si>
  <si>
    <t xml:space="preserve">APRA-CPS230, APRA-CPS234, OSFI-E23</t>
  </si>
  <si>
    <t xml:space="preserve">Totals</t>
  </si>
  <si>
    <t xml:space="preserve">Mean AU score, total weighted gap, mean expected score, mean uplift.</t>
  </si>
  <si>
    <t xml:space="preserve">Areas for improvement</t>
  </si>
  <si>
    <t xml:space="preserve">POLICY DEVELOPMENT DRAFT — NOT IN FORCE | Ordered by weighted gap. Priority and weighted gap are linked to the Gap Assessment sheet, so re-weighting there re-ranks nothing here automatically — re-sort after changing weights.</t>
  </si>
  <si>
    <t xml:space="preserve">Rank</t>
  </si>
  <si>
    <t xml:space="preserve">Observed gap</t>
  </si>
  <si>
    <t xml:space="preserve">Recommended action</t>
  </si>
  <si>
    <t xml:space="preserve">Indicative owner</t>
  </si>
  <si>
    <t xml:space="preserve">Status</t>
  </si>
  <si>
    <t xml:space="preserve">No APRA instrument defines a model or model risk on a cross-industry basis. Model requirements exist only inside the capital and actuarial standards and apply only to the models those standards cover.</t>
  </si>
  <si>
    <t xml:space="preserve">Adopt a broad function-based definition of a model and of model risk on a cross-industry basis, with an express obligation to identify and control quantitative tools falling outside it. Do not follow the April 2026 United States narrowing, which would exclude actuarial and unit pricing calculations.</t>
  </si>
  <si>
    <t xml:space="preserve">Policy</t>
  </si>
  <si>
    <t xml:space="preserve">Open — policy development</t>
  </si>
  <si>
    <t xml:space="preserve">The concept is absent from the Australian framework. Validation can exist on paper without the competence, standing or incentives that make it effective, and nothing currently requires an entity to test whether challenge works.</t>
  </si>
  <si>
    <t xml:space="preserve">Require effective challenge expressly, and expect entities to assess whether it is operating through finding closure routes and severity migration.</t>
  </si>
  <si>
    <t xml:space="preserve">Policy + Supervision</t>
  </si>
  <si>
    <t xml:space="preserve">No cross-industry inventory obligation. Without one, no other model risk obligation can be evidenced as complete, and APRA cannot assess sector-wide reliance.</t>
  </si>
  <si>
    <t xml:space="preserve">Require a complete, current, controlled enterprise inventory including embedded, third-party and recently decommissioned models, with minimum fields specified.</t>
  </si>
  <si>
    <t xml:space="preserve">Nothing requires an entity to form a view of model risk in aggregate or to consider it in internal capital assessment, so correlated failure across models sharing data, vendors or assumptions is invisible.</t>
  </si>
  <si>
    <t xml:space="preserve">Require aggregate assessment and consideration in internal capital assessment, permitting qualitative measures where quantification is not yet feasible.</t>
  </si>
  <si>
    <t xml:space="preserve">Policy + Capital</t>
  </si>
  <si>
    <t xml:space="preserve">Misuse is one of the two recognised sources of model risk and is entirely unaddressed outside the capital use test. Nothing requires users to be told a model's limitations.</t>
  </si>
  <si>
    <t xml:space="preserve">Require use within approved purpose and conditions, and require limitations to be communicated to users rather than merely recorded.</t>
  </si>
  <si>
    <t xml:space="preserve">No comparator authority addresses superannuation model risk, so there is no benchmark. Unit pricing and valuation models determine amounts credited to member accounts and errors transfer value between members irreversibly.</t>
  </si>
  <si>
    <t xml:space="preserve">Name the RSE model classes expressly. Scored against the cross-industry benchmark rather than a comparator, because none exists.</t>
  </si>
  <si>
    <t xml:space="preserve">Policy + Superannuation</t>
  </si>
  <si>
    <t xml:space="preserve">Proportionality is a general principle across APRA standards but there is no model risk classification taxonomy, so control intensity is not systematically linked to model risk.</t>
  </si>
  <si>
    <t xml:space="preserve">Require a documented tiering methodology using quantitative and qualitative factors that demonstrably drives validation, monitoring and approval intensity, with an express de minimis determination at model level that keeps low-consequence models within identification while relieving them of the full lifecycle.</t>
  </si>
  <si>
    <t xml:space="preserve">CPS 220 gives the Board responsibility for the risk management framework, but model risk is not identified as a risk requiring Board attention in its own right and no reporting content is specified.</t>
  </si>
  <si>
    <t xml:space="preserve">Require Board approval of the model risk framework and appetite, supported by aggregate, decision-useful reporting rather than model counts.</t>
  </si>
  <si>
    <t xml:space="preserve">There is no requirement to maintain a model risk management framework as such, no documented model risk policy standard, and no requirement for capability and independence sufficient to validate and challenge models. Model governance obligations sit inside instruments written for other purposes.</t>
  </si>
  <si>
    <t xml:space="preserve">Require a documented framework integrated with the risk management framework, policies applied consistently across the entity, and capability and independence sufficient to develop, use, validate, challenge and assure models.</t>
  </si>
  <si>
    <t xml:space="preserve">No general bar on using an untested model. Testing expectations exist only within the capital model approval process.</t>
  </si>
  <si>
    <t xml:space="preserve">Establish an explicit gate: a model must not be used for a material purpose until tested and residual limitations accepted.</t>
  </si>
  <si>
    <t xml:space="preserve">Independent validation is required for IRB models under APS 113 and, in a different form, through the Appointed Actuary. There is no general requirement, so a model driving material decisions outside those regimes may never be independently reviewed.</t>
  </si>
  <si>
    <t xml:space="preserve">Require independent validation for material models, structured around conceptual soundness, outcomes analysis and ongoing model monitoring, at an intensity set by tier.</t>
  </si>
  <si>
    <t xml:space="preserve">Post-model adjustments can become the dominant driver of a reported figure without any single approval considering that effect. No Australian instrument governs them generally or requires aggregate reporting.</t>
  </si>
  <si>
    <t xml:space="preserve">Require governance of the basis, quantification, approval, duration and removal of overlays, and aggregate reporting of them.</t>
  </si>
  <si>
    <t xml:space="preserve">Nothing requires verification that the deployed model reproduces the approved one. This is a recurrent source of failure that methodological validation does not catch.</t>
  </si>
  <si>
    <t xml:space="preserve">Require pre-production verification against the approved model and re-verification after material infrastructure or pipeline change.</t>
  </si>
  <si>
    <t xml:space="preserve">Policy + Technology</t>
  </si>
  <si>
    <t xml:space="preserve">CPS 220 requires a risk management framework covering material risks but does not name model risk, so enterprise-wide coverage depends on each entity's own characterisation.</t>
  </si>
  <si>
    <t xml:space="preserve">State enterprise-wide application expressly and confirm that accountability is retained where a model is supplied or operated by another party.</t>
  </si>
  <si>
    <t xml:space="preserve">Monitoring expectations are limited to specific model classes. Thresholds are rarely linked to a defined response, so deterioration produces reporting rather than action.</t>
  </si>
  <si>
    <t xml:space="preserve">Require monitoring at tier-based frequency with pre-set thresholds linked to investigation, restriction, revalidation or withdrawal.</t>
  </si>
  <si>
    <t xml:space="preserve">Policy + Risk</t>
  </si>
  <si>
    <t xml:space="preserve">AI model risk is being addressed through a separate AI workstream, creating a risk that a model built with AI techniques is governed as an AI system but not as a model, or the reverse.</t>
  </si>
  <si>
    <t xml:space="preserve">Bring AI models within the model risk framework as a model class, with an explicit boundary rule against the AI risk instrument so nothing falls between.</t>
  </si>
  <si>
    <t xml:space="preserve">No named accountability for model risk as a discipline. Accountability for individual models is implicit in business ownership but framework-level failures have no owner.</t>
  </si>
  <si>
    <t xml:space="preserve">Require a named senior executive accountable for the framework, plus a named owner for each model, and settle the interaction with the accountability regime.</t>
  </si>
  <si>
    <t xml:space="preserve">Policy + Legal</t>
  </si>
  <si>
    <t xml:space="preserve">Development standards exist only for capital models under APS 113 and for actuarial work. Models outside those regimes have no development expectation.</t>
  </si>
  <si>
    <t xml:space="preserve">Require documented development standards, conceptual soundness, consideration of alternatives and recording of limitations across all material models.</t>
  </si>
  <si>
    <t xml:space="preserve">Model change control is prescribed only for capital models. Cumulative change and vendor-initiated change are not addressed anywhere in the framework.</t>
  </si>
  <si>
    <t xml:space="preserve">Require materiality assessment of changes individually and cumulatively, and treat provider-initiated change as an entity change event.</t>
  </si>
  <si>
    <t xml:space="preserve">CPS 230 governs service providers but not the model risk in a supplied model. Opacity is commonly accepted from vendors at a level that would not be accepted internally.</t>
  </si>
  <si>
    <t xml:space="preserve">Apply the full framework to third-party models, require usable information rights without mandating source-code access, and require compensating controls where information is unavailable.</t>
  </si>
  <si>
    <t xml:space="preserve">Policy + Operational Risk</t>
  </si>
  <si>
    <t xml:space="preserve">No requirement to record model limitations, apply compensating controls or track remediation to completion. Findings can be closed by explanation without change.</t>
  </si>
  <si>
    <t xml:space="preserve">Require recorded limitations, specific compensating controls, tracked remediation and escalation of overdue material findings.</t>
  </si>
  <si>
    <t xml:space="preserve">CPG 235 provides a data governance foundation but is a practice guide, is dated, and does not address model-specific concerns such as proxy data, representativeness or synthetic data.</t>
  </si>
  <si>
    <t xml:space="preserve">Require model data to be assessed for appropriateness as well as quality, with lineage to source and documented treatment of proxies and synthetic data.</t>
  </si>
  <si>
    <t xml:space="preserve">Policy + Data</t>
  </si>
  <si>
    <t xml:space="preserve">No cross-industry documentation standard for models. Documentation adequacy is assessed only where a capital or actuarial standard applies.</t>
  </si>
  <si>
    <t xml:space="preserve">Adopt the reconstruction test: documentation sufficient for an independent competent person to reproduce material results.</t>
  </si>
  <si>
    <t xml:space="preserve">Approval requirements exist for capital models only. Elsewhere, models enter use without a recorded approval of version, purpose or conditions.</t>
  </si>
  <si>
    <t xml:space="preserve">Require version-specific approval for a defined purpose and conditions, recording limits, thresholds, accepted limitations and review date.</t>
  </si>
  <si>
    <t xml:space="preserve">Internal audit obligations are general. Audit of the model risk framework, and in particular of whether challenge is effective, is not specified and frequently lacks the technical capability to be meaningful.</t>
  </si>
  <si>
    <t xml:space="preserve">Require periodic independent assessment of framework design and operating effectiveness, including the effectiveness of validation and challenge.</t>
  </si>
  <si>
    <t xml:space="preserve">Policy + Assurance</t>
  </si>
  <si>
    <t xml:space="preserve">Valuation model governance and independent price verification are not addressed on a cross-industry basis, despite the output being the reported number itself.</t>
  </si>
  <si>
    <t xml:space="preserve">Bring valuation and financial reporting models expressly within scope and require independent price verification as a control distinct from validation.</t>
  </si>
  <si>
    <t xml:space="preserve">Retired models whose outputs remain in force — provisions, capital numbers, unit prices, insurance liabilities — are not addressed anywhere.</t>
  </si>
  <si>
    <t xml:space="preserve">Require managed decommissioning covering downstream models, outputs still in force, records and data disposition.</t>
  </si>
  <si>
    <t xml:space="preserve">Risk appetite obligations are general. Model risk is rarely expressed in appetite statements in monitorable terms, so it cannot be breached or escalated.</t>
  </si>
  <si>
    <t xml:space="preserve">Require an appetite for model risk expressed so that it can be measured, with limits, thresholds and escalation triggers.</t>
  </si>
  <si>
    <t xml:space="preserve">Bilateral service provider assessment does not capture correlated reliance on a common external model, data source or platform across the industry.</t>
  </si>
  <si>
    <t xml:space="preserve">Require entity-level concentration assessment and support sector-wide monitoring of common model and data dependencies.</t>
  </si>
  <si>
    <t xml:space="preserve">Supervision + Data</t>
  </si>
  <si>
    <t xml:space="preserve">APRA conducts stress testing but there is no standard governing the models used, whereas the PRA maintains a dedicated supervisory statement on model risk in stress testing.</t>
  </si>
  <si>
    <t xml:space="preserve">Bring stress testing, scenario and capital planning models within scope, with explicit treatment of assumption governance and of uncertainty disclosure.</t>
  </si>
  <si>
    <t xml:space="preserve">General record-keeping obligations do not specify what must be retained to reconstruct a model's output, approval basis and performance.</t>
  </si>
  <si>
    <t xml:space="preserve">Specify reconstructability for material models, with retention aligned to the period over which the decisions informed remain material.</t>
  </si>
  <si>
    <t xml:space="preserve">This is the strongest part of the Australian framework. The residual gap is the absence of a general model risk discipline around the capital model estate, and less developed guidance on model change than the ECB provides.</t>
  </si>
  <si>
    <t xml:space="preserve">Preserve the capital standards unchanged and position CPS XXXX to sit alongside them, with the specific capital requirement governing approval, change and conditions of use.</t>
  </si>
  <si>
    <t xml:space="preserve">This is a genuine strength. APS 220 transposes BCBS d350 Principle 5 into binding Australian form in near-identical language, requiring ADIs to have sound policies and processes to appropriately validate expected credit loss models, and APG 220 directs ADIs to have regard to the Basel guidance. The residual gap is that the obligation to validate exists without a model risk framework defining what validation consists of, who performs it and what follows a finding — and that APRA's own observations record continuing reliance on sizeable judgement-based adjustments that are not consistently well governed.</t>
  </si>
  <si>
    <t xml:space="preserve">Connect the existing APS 220 validation obligation to the model risk framework rather than restating it, govern overlays and scenario assumptions as model risk, and publish the review focus areas so entities know what an APRA-required review under the special purpose engagement provisions of the Audit and Related Matters standards, or under APS 220, would examine.</t>
  </si>
  <si>
    <t xml:space="preserve">Policy + Credit Risk</t>
  </si>
  <si>
    <t xml:space="preserve">The Appointed Actuary framework is a genuine strength but was not designed as model risk management. Implementation verification and data quality assessment are not reliably covered.</t>
  </si>
  <si>
    <t xml:space="preserve">Require insurers to map which validation elements the actuarial control cycle discharges and which need separate work.</t>
  </si>
  <si>
    <t xml:space="preserve">Policy + Insurance</t>
  </si>
  <si>
    <t xml:space="preserve">Notification architecture is sound but does not identify model failure as a notifiable event, so a material model error may not be reported unless it also constitutes an operational incident.</t>
  </si>
  <si>
    <t xml:space="preserve">Cross-reference existing CPS 230 and CPS 234 timeframes rather than create a conflicting deadline, and expect early engagement on material model weakness.</t>
  </si>
  <si>
    <t xml:space="preserve">Regulatory crosswalk — model risk management</t>
  </si>
  <si>
    <t xml:space="preserve">POLICY DEVELOPMENT DRAFT — NOT IN FORCE | Compares substantive content. Legal enforceability differs between authorities and is recorded on the Legal Status Matrix sheet.</t>
  </si>
  <si>
    <t xml:space="preserve">APRA (current)</t>
  </si>
  <si>
    <t xml:space="preserve">OCC / Federal Reserve</t>
  </si>
  <si>
    <t xml:space="preserve">ECB / SSM</t>
  </si>
  <si>
    <t xml:space="preserve">MAS</t>
  </si>
  <si>
    <t xml:space="preserve">FSB</t>
  </si>
  <si>
    <t xml:space="preserve">Proposed CPS XXXX position</t>
  </si>
  <si>
    <t xml:space="preserve">Legal character of the framework</t>
  </si>
  <si>
    <t xml:space="preserve">Binding prudential standards, but none addresses model risk as such.</t>
  </si>
  <si>
    <t xml:space="preserve">Supervisory guidance only, expressly non-enforceable; the sole binding instrument makes guidance non-binding.</t>
  </si>
  <si>
    <t xml:space="preserve">Supervisory statement; expectations, not Rulebook rules.</t>
  </si>
  <si>
    <t xml:space="preserve">Supervisory guideline; final but not effective until 1 May 2027.</t>
  </si>
  <si>
    <t xml:space="preserve">Supervisory guide interpreting binding CRR articles; the CRR is the law, the guide is not.</t>
  </si>
  <si>
    <t xml:space="preserve">Binding Notice for capital models; information paper and voluntary principles for AI.</t>
  </si>
  <si>
    <t xml:space="preserve">International principles; effect depends on domestic implementation.</t>
  </si>
  <si>
    <t xml:space="preserve">Analytical and consultative reports; expressly not standards.</t>
  </si>
  <si>
    <t xml:space="preserve">Binding cross-industry prudential standard, deliberately enforceable rather than advisory.</t>
  </si>
  <si>
    <t xml:space="preserve">Definition of a model</t>
  </si>
  <si>
    <t xml:space="preserve">Not defined on a cross-industry basis.</t>
  </si>
  <si>
    <t xml:space="preserve">Narrowed in April 2026 to complex methods applying statistical, economic or financial theories; excludes spreadsheet arithmetic, deterministic rules, and generative and agentic AI.</t>
  </si>
  <si>
    <t xml:space="preserve">Principle 1.1(a) sets out a definition firms should adopt as the basis for the scope of their framework, and expects consideration of quantitative methods falling outside it.</t>
  </si>
  <si>
    <t xml:space="preserve">Model definition expressly includes AI and machine learning.</t>
  </si>
  <si>
    <t xml:space="preserve">Internal models for regulatory capital; machine learning addressed as a technique within them.</t>
  </si>
  <si>
    <t xml:space="preserve">Capital models defined in Notice 637; AI models addressed separately.</t>
  </si>
  <si>
    <t xml:space="preserve">No general definition; BCBS 239 addresses risk data rather than models.</t>
  </si>
  <si>
    <t xml:space="preserve">Uses the OECD AI definition rather than a model definition.</t>
  </si>
  <si>
    <t xml:space="preserve">Broad function-based definition capturing deterministic actuarial and pricing calculations, which the US now excludes.</t>
  </si>
  <si>
    <t xml:space="preserve">Non-model quantitative tools</t>
  </si>
  <si>
    <t xml:space="preserve">Not addressed.</t>
  </si>
  <si>
    <t xml:space="preserve">Expressly excluded from the model definition; no control obligation stated in the 2026 guidance.</t>
  </si>
  <si>
    <t xml:space="preserve">Principle 1.1 expects firms to consider quantitative methods falling outside the model definition.</t>
  </si>
  <si>
    <t xml:space="preserve">Addressed through the risk-based approach.</t>
  </si>
  <si>
    <t xml:space="preserve">Not separately addressed.</t>
  </si>
  <si>
    <t xml:space="preserve">Express requirement to identify material tools outside the definition and control them proportionately.</t>
  </si>
  <si>
    <t xml:space="preserve">Enterprise-wide scope</t>
  </si>
  <si>
    <t xml:space="preserve">Implicit in CPS 220 but model risk is not named as a material risk.</t>
  </si>
  <si>
    <t xml:space="preserve">Applies across the organisation; most relevant above $30bn total assets.</t>
  </si>
  <si>
    <t xml:space="preserve">Enterprise-wide, but only for firms with internal model approval.</t>
  </si>
  <si>
    <t xml:space="preserve">Enterprise-wide across all models regardless of source or purpose.</t>
  </si>
  <si>
    <t xml:space="preserve">Limited to internal models used for regulatory capital.</t>
  </si>
  <si>
    <t xml:space="preserve">Capital models; AI practices observed more broadly.</t>
  </si>
  <si>
    <t xml:space="preserve">Not applicable.</t>
  </si>
  <si>
    <t xml:space="preserve">Enterprise-wide across all models, all business lines and all APRA-regulated industries.</t>
  </si>
  <si>
    <t xml:space="preserve">Proportionality</t>
  </si>
  <si>
    <t xml:space="preserve">General principle across all standards; not linked to model risk.</t>
  </si>
  <si>
    <t xml:space="preserve">Risk-based; a 2025 bulletin confirms community banks need not validate annually.</t>
  </si>
  <si>
    <t xml:space="preserve">Tiering drives control intensity.</t>
  </si>
  <si>
    <t xml:space="preserve">Scope, scale and intensity commensurate with model risk (Principle 2.3).</t>
  </si>
  <si>
    <t xml:space="preserve">Materiality of the model within the capital framework.</t>
  </si>
  <si>
    <t xml:space="preserve">Risk materiality drives control intensity.</t>
  </si>
  <si>
    <t xml:space="preserve">Principles applied proportionately.</t>
  </si>
  <si>
    <t xml:space="preserve">Explicit proportionality by institution and use-case materiality.</t>
  </si>
  <si>
    <t xml:space="preserve">Proportionate by tier, with exceptions documented, time-bound, approved and reviewed.</t>
  </si>
  <si>
    <t xml:space="preserve">De minimis and scope relief</t>
  </si>
  <si>
    <t xml:space="preserve">No mechanism; model requirements apply only where a capital or actuarial standard reaches them.</t>
  </si>
  <si>
    <t xml:space="preserve">Models deemed immaterial may attract only identification and monitoring of the conditions under which their use could become material; the guidance also applies mainly above a $30bn entity threshold.</t>
  </si>
  <si>
    <t xml:space="preserve">Tiering determines control intensity; no separate de minimis category.</t>
  </si>
  <si>
    <t xml:space="preserve">Principle 2.3 scales scope, scale and intensity to model risk, but Principle 2.1 keeps all models within identification.</t>
  </si>
  <si>
    <t xml:space="preserve">Materiality assessment within the internal model framework; no de minimis category.</t>
  </si>
  <si>
    <t xml:space="preserve">Proportionality by use-case materiality.</t>
  </si>
  <si>
    <t xml:space="preserve">Express de minimis determination at model level, confined to identification, inventory, ownership, classification and reassessment, with prohibited classes, an aggregate test and an anti-disaggregation limb.</t>
  </si>
  <si>
    <t xml:space="preserve">No cross-industry obligation.</t>
  </si>
  <si>
    <t xml:space="preserve">Described as common industry practice rather than an expectation.</t>
  </si>
  <si>
    <t xml:space="preserve">Principle 1.2 requires a model inventory.</t>
  </si>
  <si>
    <t xml:space="preserve">Principle 2.1 requires identification and tracking of all models in use or recently decommissioned.</t>
  </si>
  <si>
    <t xml:space="preserve">Model register expected for internal models.</t>
  </si>
  <si>
    <t xml:space="preserve">Expected for capital models; inventories observed in AI practice.</t>
  </si>
  <si>
    <t xml:space="preserve">Documentation of AI identified as a sound practice.</t>
  </si>
  <si>
    <t xml:space="preserve">Complete, current, controlled enterprise inventory including embedded, third-party and recently decommissioned models, with minimum fields prescribed.</t>
  </si>
  <si>
    <t xml:space="preserve">Risk tiering</t>
  </si>
  <si>
    <t xml:space="preserve">No taxonomy; APS 113 distinguishes only by capital treatment.</t>
  </si>
  <si>
    <t xml:space="preserve">Model risk framed as inherent risk in the context of materiality, itself a function of exposure and purpose.</t>
  </si>
  <si>
    <t xml:space="preserve">Principle 1.3 model tiering.</t>
  </si>
  <si>
    <t xml:space="preserve">Principle 2.2 requires a model risk rating approach assessing key dimensions.</t>
  </si>
  <si>
    <t xml:space="preserve">Materiality assessment within the internal model framework.</t>
  </si>
  <si>
    <t xml:space="preserve">Risk materiality assessment central to AI control intensity.</t>
  </si>
  <si>
    <t xml:space="preserve">Materiality and risk assessment at inception and thereafter.</t>
  </si>
  <si>
    <t xml:space="preserve">Documented tiering on quantitative and qualitative factors, driving validation, monitoring, approval and reporting intensity.</t>
  </si>
  <si>
    <t xml:space="preserve">Board and senior accountability</t>
  </si>
  <si>
    <t xml:space="preserve">CPS 220 gives the Board the risk management framework; model risk not named.</t>
  </si>
  <si>
    <t xml:space="preserve">Roles and responsibilities with defined accountability, including conflicts between development and validation.</t>
  </si>
  <si>
    <t xml:space="preserve">Principle 2.1 Board responsibilities and 2.2 SMF accountability for the framework.</t>
  </si>
  <si>
    <t xml:space="preserve">Principle 1.1 on reporting structures and resourcing.</t>
  </si>
  <si>
    <t xml:space="preserve">Section 5 identification of management body and senior management.</t>
  </si>
  <si>
    <t xml:space="preserve">Board and senior management oversight in observed AI practice.</t>
  </si>
  <si>
    <t xml:space="preserve">Governance is BCBS 239 Principle 1.</t>
  </si>
  <si>
    <t xml:space="preserve">Sound Practices 1 and 2 on strategic direction, oversight, governance and accountability.</t>
  </si>
  <si>
    <t xml:space="preserve">Board approves the framework and appetite; a named senior executive is accountable for the framework; every model has a named owner.</t>
  </si>
  <si>
    <t xml:space="preserve">APS 113 for IRB models only.</t>
  </si>
  <si>
    <t xml:space="preserve">Section IV on model development, including purpose statement, user input and testing.</t>
  </si>
  <si>
    <t xml:space="preserve">Principle 3.1 model purpose and design; 3.3 development testing.</t>
  </si>
  <si>
    <t xml:space="preserve">Principle 3.3 on development processes with clear standards.</t>
  </si>
  <si>
    <t xml:space="preserve">Documentation and data governance sections of the overarching principles chapter.</t>
  </si>
  <si>
    <t xml:space="preserve">Notice 637 for capital models.</t>
  </si>
  <si>
    <t xml:space="preserve">Not addressed directly.</t>
  </si>
  <si>
    <t xml:space="preserve">Sound Practice 6 on selection.</t>
  </si>
  <si>
    <t xml:space="preserve">Documented development standards, conceptual soundness, consideration of alternatives, and recorded limitations for all material models.</t>
  </si>
  <si>
    <t xml:space="preserve">Data</t>
  </si>
  <si>
    <t xml:space="preserve">CPG 235 is a non-enforceable guide dating from 2013.</t>
  </si>
  <si>
    <t xml:space="preserve">Data quality, relevance and inputs assessed within development testing.</t>
  </si>
  <si>
    <t xml:space="preserve">Principle 3.2 the use of data.</t>
  </si>
  <si>
    <t xml:space="preserve">Principle 3.2 requires data suitable for the intended use.</t>
  </si>
  <si>
    <t xml:space="preserve">Section 3 data governance; separate guide on risk data aggregation and reporting.</t>
  </si>
  <si>
    <t xml:space="preserve">Data quality and representativeness prominent in AI practice.</t>
  </si>
  <si>
    <t xml:space="preserve">BCBS 239 sets fourteen principles on risk data aggregation and reporting.</t>
  </si>
  <si>
    <t xml:space="preserve">Sound Practice 7 on data governance.</t>
  </si>
  <si>
    <t xml:space="preserve">Data appropriateness as well as quality, lineage to source, and documented treatment of proxy, external and synthetic data.</t>
  </si>
  <si>
    <t xml:space="preserve">Documentation</t>
  </si>
  <si>
    <t xml:space="preserve">Only within APS 113 and actuarial standards.</t>
  </si>
  <si>
    <t xml:space="preserve">Reduced in 2026 to a statement that adequate documentation helps support model risk management.</t>
  </si>
  <si>
    <t xml:space="preserve">Principle 3.5 model development documentation.</t>
  </si>
  <si>
    <t xml:space="preserve">Principle 3.3 covers documentation standards.</t>
  </si>
  <si>
    <t xml:space="preserve">Section 2 documentation of internal models; CRR Article 188 makes it binding.</t>
  </si>
  <si>
    <t xml:space="preserve">Required for capital models under Notice 637.</t>
  </si>
  <si>
    <t xml:space="preserve">Documentation identified as a sound practice.</t>
  </si>
  <si>
    <t xml:space="preserve">Reconstruction standard: sufficient for an independent competent person to reproduce material results.</t>
  </si>
  <si>
    <t xml:space="preserve">Testing before use</t>
  </si>
  <si>
    <t xml:space="preserve">Only within capital model approval.</t>
  </si>
  <si>
    <t xml:space="preserve">Validation generally occurs before first use, but use before validation is permitted for urgent business need with compensating controls.</t>
  </si>
  <si>
    <t xml:space="preserve">Principle 3.3 model development testing.</t>
  </si>
  <si>
    <t xml:space="preserve">Within the model review and approval lifecycle stages.</t>
  </si>
  <si>
    <t xml:space="preserve">Pre-approval assessment by the supervisor for capital models.</t>
  </si>
  <si>
    <t xml:space="preserve">Pre-deployment validation expected for higher-risk AI.</t>
  </si>
  <si>
    <t xml:space="preserve">Performance assessment proportionate to risk.</t>
  </si>
  <si>
    <t xml:space="preserve">Express bar: a model must not be used for a material purpose until tested and residual limitations accepted at an appropriate authority.</t>
  </si>
  <si>
    <t xml:space="preserve">APS 113 for IRB; the Appointed Actuary provides a different form of independent review.</t>
  </si>
  <si>
    <t xml:space="preserve">Quality of validation depends on the rigour of the review rather than on organisational structure — a softening from the 2011 text.</t>
  </si>
  <si>
    <t xml:space="preserve">Principle 4 independent model validation, with five sub-principles.</t>
  </si>
  <si>
    <t xml:space="preserve">Principle 3.4 requires a process to independently assess conceptual soundness and performance.</t>
  </si>
  <si>
    <t xml:space="preserve">Section 6 internal validation; CRR Articles 185 and 188 make validation binding.</t>
  </si>
  <si>
    <t xml:space="preserve">Notice 637 paragraphs 2.5 and 2.6 on internal validation and its independent review.</t>
  </si>
  <si>
    <t xml:space="preserve">Performance management, with independence left flexible.</t>
  </si>
  <si>
    <t xml:space="preserve">Independent validation required for material models, with vendor or sponsor validation expressly insufficient.</t>
  </si>
  <si>
    <t xml:space="preserve">Components of validation</t>
  </si>
  <si>
    <t xml:space="preserve">Not specified.</t>
  </si>
  <si>
    <t xml:space="preserve">Conceptual soundness, outcomes analysis, and ongoing model monitoring.</t>
  </si>
  <si>
    <t xml:space="preserve">Principles 4.2 independent review, 4.3 process verification, 4.4 performance monitoring, 4.5 periodic revalidation.</t>
  </si>
  <si>
    <t xml:space="preserve">Conceptual soundness and performance under Principle 3.4.</t>
  </si>
  <si>
    <t xml:space="preserve">Validation covering methodology, data and performance.</t>
  </si>
  <si>
    <t xml:space="preserve">Validation requirements in Section 7 of Notice 637.</t>
  </si>
  <si>
    <t xml:space="preserve">Conceptual soundness, outcomes analysis and ongoing model monitoring, with an explicit conclusion on fitness for use.</t>
  </si>
  <si>
    <t xml:space="preserve">Concept absent from the framework.</t>
  </si>
  <si>
    <t xml:space="preserve">Retained and reformulated: expertise, sufficient independence, and organisational standing and influence to effect change.</t>
  </si>
  <si>
    <t xml:space="preserve">Embedded in Principle 4 as ongoing, independent and effective challenge.</t>
  </si>
  <si>
    <t xml:space="preserve">Implicit in the independent assessment principle.</t>
  </si>
  <si>
    <t xml:space="preserve">Internal validation and internal audit principles.</t>
  </si>
  <si>
    <t xml:space="preserve">Independent review under Notice 637.</t>
  </si>
  <si>
    <t xml:space="preserve">Express requirement, with an expectation that entities test whether challenge is operating effectively.</t>
  </si>
  <si>
    <t xml:space="preserve">Use test in APS 113 only.</t>
  </si>
  <si>
    <t xml:space="preserve">Recognised that a sound model can carry high model risk if misapplied or misused.</t>
  </si>
  <si>
    <t xml:space="preserve">Principle 3 covers model use.</t>
  </si>
  <si>
    <t xml:space="preserve">Principle 1.3 models should be appropriate for their business purposes.</t>
  </si>
  <si>
    <t xml:space="preserve">Credit risk chapter, general topics Section 6 model use; CRR Article 174 use of models is binding.</t>
  </si>
  <si>
    <t xml:space="preserve">Use test for capital models.</t>
  </si>
  <si>
    <t xml:space="preserve">Human oversight sound practice.</t>
  </si>
  <si>
    <t xml:space="preserve">Use confined to approved purpose and conditions, with limitations communicated to users rather than merely recorded.</t>
  </si>
  <si>
    <t xml:space="preserve">Overlays and expert judgement</t>
  </si>
  <si>
    <t xml:space="preserve">Not governed generally.</t>
  </si>
  <si>
    <t xml:space="preserve">Overlays and adjustments referenced within monitoring.</t>
  </si>
  <si>
    <t xml:space="preserve">Principle 3.4 model adjustments and expert judgement; Principle 5.1 post-model adjustments.</t>
  </si>
  <si>
    <t xml:space="preserve">Addressed within model monitoring standards.</t>
  </si>
  <si>
    <t xml:space="preserve">Margin of conservatism framework for internal models.</t>
  </si>
  <si>
    <t xml:space="preserve">Not addressed generally.</t>
  </si>
  <si>
    <t xml:space="preserve">Governance of basis, quantification, approval, duration and removal, with aggregate reporting of overlays in force.</t>
  </si>
  <si>
    <t xml:space="preserve">Change management</t>
  </si>
  <si>
    <t xml:space="preserve">APS 113 for capital models only.</t>
  </si>
  <si>
    <t xml:space="preserve">Frequency and scope of model changes inform validation timing.</t>
  </si>
  <si>
    <t xml:space="preserve">Within Principle 3 and Principle 4.5 periodic revalidation.</t>
  </si>
  <si>
    <t xml:space="preserve">Principle 3.5 deployment with quality and change control processes.</t>
  </si>
  <si>
    <t xml:space="preserve">Section 10 on implementation of a changed or extended model; a detailed model change regime.</t>
  </si>
  <si>
    <t xml:space="preserve">Change control for capital models.</t>
  </si>
  <si>
    <t xml:space="preserve">Organisational adaptability sound practice.</t>
  </si>
  <si>
    <t xml:space="preserve">Materiality assessment of changes individually and cumulatively, with provider-initiated change treated as an entity change event.</t>
  </si>
  <si>
    <t xml:space="preserve">Monitoring and drift</t>
  </si>
  <si>
    <t xml:space="preserve">Limited to specific model classes.</t>
  </si>
  <si>
    <t xml:space="preserve">Ongoing model monitoring as a named validation component.</t>
  </si>
  <si>
    <t xml:space="preserve">Principle 4.4 model performance monitoring.</t>
  </si>
  <si>
    <t xml:space="preserve">Principle 3.6 standards for model monitoring and decommission.</t>
  </si>
  <si>
    <t xml:space="preserve">Within internal validation and model change provisions.</t>
  </si>
  <si>
    <t xml:space="preserve">Post-deployment monitoring in observed AI practice.</t>
  </si>
  <si>
    <t xml:space="preserve">Sound Practice 9 performance management.</t>
  </si>
  <si>
    <t xml:space="preserve">Tier-based monitoring frequency with pre-set thresholds linked to investigation, restriction, revalidation or withdrawal.</t>
  </si>
  <si>
    <t xml:space="preserve">Decommissioning</t>
  </si>
  <si>
    <t xml:space="preserve">Principle 3.6 expressly covers model decommission.</t>
  </si>
  <si>
    <t xml:space="preserve">Managed decommissioning covering downstream models, outputs still in force, records and data disposition.</t>
  </si>
  <si>
    <t xml:space="preserve">CPS 230 governs the provider, not the model.</t>
  </si>
  <si>
    <t xml:space="preserve">Section VII on vendor and other third-party products, including validation and ongoing monitoring of vendor models.</t>
  </si>
  <si>
    <t xml:space="preserve">Principle 2.6 use of externally developed models and third-party vendor products.</t>
  </si>
  <si>
    <t xml:space="preserve">All models in scope regardless of source; B-10 applies to the arrangement.</t>
  </si>
  <si>
    <t xml:space="preserve">Section 11 third-party involvement.</t>
  </si>
  <si>
    <t xml:space="preserve">Provider opacity and contingency prominent in AI practice.</t>
  </si>
  <si>
    <t xml:space="preserve">Twelve third-party risk principles covering the full lifecycle.</t>
  </si>
  <si>
    <t xml:space="preserve">Sound Practice 12 third-party AI risk management.</t>
  </si>
  <si>
    <t xml:space="preserve">Full framework applied to third-party models, with usable information rights and compensating controls where information is unavailable.</t>
  </si>
  <si>
    <t xml:space="preserve">Bilateral service provider assessment under CPS 230.</t>
  </si>
  <si>
    <t xml:space="preserve">Not addressed as a systemic matter.</t>
  </si>
  <si>
    <t xml:space="preserve">Not AI-specific.</t>
  </si>
  <si>
    <t xml:space="preserve">Interconnectedness is a proportionality factor.</t>
  </si>
  <si>
    <t xml:space="preserve">Provider concentration highlighted in AI practice.</t>
  </si>
  <si>
    <t xml:space="preserve">Concentration addressed in the third-party principles.</t>
  </si>
  <si>
    <t xml:space="preserve">Third-party dependencies and service provider concentration identified as a financial stability vulnerability.</t>
  </si>
  <si>
    <t xml:space="preserve">Entity-level concentration assessment, with support for sector-wide monitoring of common model and data dependencies.</t>
  </si>
  <si>
    <t xml:space="preserve">Addressed through a separate AI workstream, not as a model class.</t>
  </si>
  <si>
    <t xml:space="preserve">Traditional and non-generative, non-agentic AI models in scope; generative and agentic AI expressly excluded.</t>
  </si>
  <si>
    <t xml:space="preserve">Covered where AI meets the firm's model definition; a 2025 roundtable considered AI and ML in model risk.</t>
  </si>
  <si>
    <t xml:space="preserve">Section 9 on the use of machine learning techniques in internal models.</t>
  </si>
  <si>
    <t xml:space="preserve">Detailed observed practice for AI model risk management, including generative AI.</t>
  </si>
  <si>
    <t xml:space="preserve">Analytical work on digitalisation and an AI/ML newsletter; no dedicated standard.</t>
  </si>
  <si>
    <t xml:space="preserve">Twelve sound practices for AI adoption, expressly not a standard.</t>
  </si>
  <si>
    <t xml:space="preserve">AI models within the framework as a model class, with an express boundary rule against the separate AI instrument.</t>
  </si>
  <si>
    <t xml:space="preserve">APS 220 requires sound policies and processes to appropriately validate ECL models, sound measurement methodologies, adequate aggregate provisions and experienced credit judgement. APG 220 directs ADIs to have regard to the Basel guidance. APRA's October 2023 letter sets out observed practice.</t>
  </si>
  <si>
    <t xml:space="preserve">Not addressed as a distinct model class in the model risk guidance; ECL sits in the accounting and credit supervision streams.</t>
  </si>
  <si>
    <t xml:space="preserve">Covered where an ECL model falls within the firm's model definition; no dedicated ECL provision in SS1/23.</t>
  </si>
  <si>
    <t xml:space="preserve">Covered by the general model definition; no dedicated ECL principle.</t>
  </si>
  <si>
    <t xml:space="preserve">IFRS 9 ECL models fall within the internal models and credit risk supervisory frameworks; no dedicated chapter in the internal models guide.</t>
  </si>
  <si>
    <t xml:space="preserve">Not addressed as a distinct model class.</t>
  </si>
  <si>
    <t xml:space="preserve">Dedicated guidance: eleven principles on credit risk and accounting for expected credit losses, including Principle 5 on ECL model validation and Principles 9 to 11 on supervisory evaluation.</t>
  </si>
  <si>
    <t xml:space="preserve">Express requirement that ECL and provisioning models are within the model risk framework, with judgement-based adjustments, overlays, assumptions and scenarios governed with the same discipline as the models, and a set of review focus areas in Annex G.</t>
  </si>
  <si>
    <t xml:space="preserve">Aggregate model risk</t>
  </si>
  <si>
    <t xml:space="preserve">Not required.</t>
  </si>
  <si>
    <t xml:space="preserve">Sound practice to assess model risk individually and in aggregate, reflecting interactions, dependencies and reliance on common assumptions, data or methodologies.</t>
  </si>
  <si>
    <t xml:space="preserve">Principle 2.1 board responsibilities, covering understanding and reporting of model risk in aggregate.</t>
  </si>
  <si>
    <t xml:space="preserve">Outcome 1 requires model risk to be understood across the enterprise.</t>
  </si>
  <si>
    <t xml:space="preserve">Model risk considered in supervisory review.</t>
  </si>
  <si>
    <t xml:space="preserve">Prudent valuation guidance (CAP50) and the Pillar 3 prudent valuation template may bear on aggregate model risk adjustment and disclosure; not confirmed from primary text at the as-of date.</t>
  </si>
  <si>
    <t xml:space="preserve">Aggregate assessment required and considered in internal capital assessment, with qualitative measures permitted where quantification is not yet feasible.</t>
  </si>
  <si>
    <t xml:space="preserve">Internal audit and assurance</t>
  </si>
  <si>
    <t xml:space="preserve">General internal audit obligations only.</t>
  </si>
  <si>
    <t xml:space="preserve">Internal audit evaluates whether model risk management practices are rigorous and effective, rather than duplicating validation.</t>
  </si>
  <si>
    <t xml:space="preserve">Principle 2.5 Internal Audit.</t>
  </si>
  <si>
    <t xml:space="preserve">Addressed within governance expectations.</t>
  </si>
  <si>
    <t xml:space="preserve">Section 7 internal audit; CRR Article 191 makes it binding.</t>
  </si>
  <si>
    <t xml:space="preserve">Three lines concepts apply generally.</t>
  </si>
  <si>
    <t xml:space="preserve">Governance sound practices.</t>
  </si>
  <si>
    <t xml:space="preserve">Periodic independent assessment of framework design and operating effectiveness, including the effectiveness of validation and challenge, reported to the Board Audit Committee.</t>
  </si>
  <si>
    <t xml:space="preserve">Supervisory notification</t>
  </si>
  <si>
    <t xml:space="preserve">CPS 230 and CPS 234 set materiality criteria and timeframes.</t>
  </si>
  <si>
    <t xml:space="preserve">No model-specific notification requirement.</t>
  </si>
  <si>
    <t xml:space="preserve">Escalation within the framework; no notification rule.</t>
  </si>
  <si>
    <t xml:space="preserve">Supervisory engagement expected.</t>
  </si>
  <si>
    <t xml:space="preserve">Model change approval required from the supervisor for capital models.</t>
  </si>
  <si>
    <t xml:space="preserve">Notification for capital model changes.</t>
  </si>
  <si>
    <t xml:space="preserve">Cross-references CPS 230 and CPS 234 rather than creating a separate deadline, with early engagement expected on material model weakness.</t>
  </si>
  <si>
    <t xml:space="preserve">Legal status and scope matrix</t>
  </si>
  <si>
    <t xml:space="preserve">POLICY DEVELOPMENT DRAFT — NOT IN FORCE | Do not treat guidance, analytical reports or consultations as binding requirements. An overseas instrument is not binding in Australia in any case.</t>
  </si>
  <si>
    <t xml:space="preserve">Source ID</t>
  </si>
  <si>
    <t xml:space="preserve">Authority</t>
  </si>
  <si>
    <t xml:space="preserve">Instrument</t>
  </si>
  <si>
    <t xml:space="preserve">Published</t>
  </si>
  <si>
    <t xml:space="preserve">Effective</t>
  </si>
  <si>
    <t xml:space="preserve">Legal status</t>
  </si>
  <si>
    <t xml:space="preserve">Scope and exclusions</t>
  </si>
  <si>
    <t xml:space="preserve">Verification</t>
  </si>
  <si>
    <t xml:space="preserve">US-MRM-2026</t>
  </si>
  <si>
    <t xml:space="preserve">OCC / FRB / FDIC</t>
  </si>
  <si>
    <t xml:space="preserve">Supervisory Guidance on Model Risk Management — interagency guidance issued as Federal Reserve SR 26-2, OCC Bulletin 2026-13 and FDIC FIL-15-2026</t>
  </si>
  <si>
    <t xml:space="preserve">17 April 2026</t>
  </si>
  <si>
    <t xml:space="preserve">Interagency supervisory guidance. Expressly non-enforceable: it 'does not set forth enforceable standards or prescriptive requirements' and non-compliance 'will not result in supervisory criticism'. US supervisory guidance does not have the force and effect of law.</t>
  </si>
  <si>
    <t xml:space="preserve">Expected to be most relevant to banking organisations with over $30 billion in total assets. Organisations at or below that threshold are generally excluded, though the guidance may still be relevant where model exposure is significant. Generative AI and agentic AI models are expressly outside scope.</t>
  </si>
  <si>
    <t xml:space="preserve">Verified — primary source</t>
  </si>
  <si>
    <t xml:space="preserve">US-MRM-2011</t>
  </si>
  <si>
    <t xml:space="preserve">OCC / FRB</t>
  </si>
  <si>
    <t xml:space="preserve">OCC Bulletin 2011-12 / Federal Reserve SR 11-7 — Supervisory Guidance on Model Risk Management</t>
  </si>
  <si>
    <t xml:space="preserve">4 April 2011</t>
  </si>
  <si>
    <t xml:space="preserve">Rescinded and superseded 17 April 2026</t>
  </si>
  <si>
    <t xml:space="preserve">Superseded supervisory guidance. Rescinded by OCC Bulletin 2026-13 and superseded by Federal Reserve SR 26-2 on 17 April 2026. Was never a regulation. Retained here for provenance because it originated most of the discipline's architecture.</t>
  </si>
  <si>
    <t xml:space="preserve">Applied to all banking organisations supervised by the Federal Reserve and the OCC, taking into account size, nature and complexity. Adopted by the FDIC in June 2017 via FIL-22-2017.</t>
  </si>
  <si>
    <t xml:space="preserve">US-SG-STATUS</t>
  </si>
  <si>
    <t xml:space="preserve">Use of supervisory guidance — 12 CFR Part 4 Subpart F (OCC), 12 CFR §262.7 and Part 262 Appendix A (Board), 12 CFR Part 302 Appendix A (FDIC)</t>
  </si>
  <si>
    <t xml:space="preserve">Codified 2021, following the 2018 interagency statement</t>
  </si>
  <si>
    <t xml:space="preserve">In force</t>
  </si>
  <si>
    <t xml:space="preserve">Codified regulation. Binding on the agencies, not on supervised institutions. Provides that supervisory guidance does not have the force and effect of law and that the agencies do not take enforcement action on the basis of guidance.</t>
  </si>
  <si>
    <t xml:space="preserve">The OCC, the Federal Reserve Board and the FDIC and their supervised institutions.</t>
  </si>
  <si>
    <t xml:space="preserve">OCC-CB-2025</t>
  </si>
  <si>
    <t xml:space="preserve">OCC</t>
  </si>
  <si>
    <t xml:space="preserve">OCC Bulletin 2025-26 — Model Risk Management: Clarification for Community Banks</t>
  </si>
  <si>
    <t xml:space="preserve">6 October 2025</t>
  </si>
  <si>
    <t xml:space="preserve">On issue</t>
  </si>
  <si>
    <t xml:space="preserve">Bulletin clarifying the application of existing supervisory guidance. Not a regulation. Not rescinded by OCC Bulletin 2026-13.</t>
  </si>
  <si>
    <t xml:space="preserve">OCC-supervised community banks.</t>
  </si>
  <si>
    <t xml:space="preserve">OCC-HANDBOOK</t>
  </si>
  <si>
    <t xml:space="preserve">Comptroller's Handbook — Model Risk Management booklet</t>
  </si>
  <si>
    <t xml:space="preserve">August 2021</t>
  </si>
  <si>
    <t xml:space="preserve">Rescinded 17 April 2026</t>
  </si>
  <si>
    <t xml:space="preserve">Examiner handbook booklet, rescinded by OCC Bulletin 2026-13. Was guidance for OCC examiners, not a regulation.</t>
  </si>
  <si>
    <t xml:space="preserve">OCC examiners assessing model risk management at supervised banks, including community banks.</t>
  </si>
  <si>
    <t xml:space="preserve">Verified — secondary source</t>
  </si>
  <si>
    <t xml:space="preserve">PRA-SS1-23</t>
  </si>
  <si>
    <t xml:space="preserve">SS1/23 — Model risk management principles for banks</t>
  </si>
  <si>
    <t xml:space="preserve">17 May 2023; current version dated 16 April 2026</t>
  </si>
  <si>
    <t xml:space="preserve">17 May 2024</t>
  </si>
  <si>
    <t xml:space="preserve">Supervisory statement setting out PRA expectations. Not a PRA Rulebook instrument and not binding law.</t>
  </si>
  <si>
    <t xml:space="preserve">UK-incorporated banks, building societies and PRA-designated investment firms with internal model approval to calculate regulatory capital requirements. Does not apply to insurers, credit unions, third-country branches or firms without internal model approval.</t>
  </si>
  <si>
    <t xml:space="preserve">PRA-PS6-23</t>
  </si>
  <si>
    <t xml:space="preserve">PS6/23 — Model risk management principles for banks (Policy Statement)</t>
  </si>
  <si>
    <t xml:space="preserve">17 May 2023</t>
  </si>
  <si>
    <t xml:space="preserve">Policy statement. Explains the final policy and feedback; the operative expectations sit in SS1/23.</t>
  </si>
  <si>
    <t xml:space="preserve">As for SS1/23.</t>
  </si>
  <si>
    <t xml:space="preserve">PRA-SS3-18</t>
  </si>
  <si>
    <t xml:space="preserve">SS3/18 — Model risk management principles for stress testing</t>
  </si>
  <si>
    <t xml:space="preserve">April 2018; current version dated April 2026</t>
  </si>
  <si>
    <t xml:space="preserve">April 2018</t>
  </si>
  <si>
    <t xml:space="preserve">Supervisory statement. PRA expectations, not binding law.</t>
  </si>
  <si>
    <t xml:space="preserve">Firms in scope of the PRA's stress testing framework.</t>
  </si>
  <si>
    <t xml:space="preserve">OSFI-E23</t>
  </si>
  <si>
    <t xml:space="preserve">Guideline E-23 — Model Risk Management (2027)</t>
  </si>
  <si>
    <t xml:space="preserve">11 September 2025</t>
  </si>
  <si>
    <t xml:space="preserve">1 May 2027</t>
  </si>
  <si>
    <t xml:space="preserve">Final supervisory guideline. Not yet in effect at the as-of date. Sound Business and Financial Practices category.</t>
  </si>
  <si>
    <t xml:space="preserve">Banks, foreign bank branches, life insurance and fraternal companies, property and casualty companies, and trust and loan companies. Does not apply to federally regulated pension plans.</t>
  </si>
  <si>
    <t xml:space="preserve">OSFI-E23-2017</t>
  </si>
  <si>
    <t xml:space="preserve">Guideline E-23 — Enterprise-Wide Model Risk Management for Deposit-Taking Institutions (2017)</t>
  </si>
  <si>
    <t xml:space="preserve">30 September 2017</t>
  </si>
  <si>
    <t xml:space="preserve">Supervisory guideline. OSFI's guidance library presents the 2027 guideline as its replacement from 1 May 2027, but no express supersession clause was located in either the 2027 guideline or its covering letter, so the relationship is stated as OSFI presents it rather than as a quoted provision.</t>
  </si>
  <si>
    <t xml:space="preserve">Federally regulated deposit-taking institutions only.</t>
  </si>
  <si>
    <t xml:space="preserve">OSFI-B10</t>
  </si>
  <si>
    <t xml:space="preserve">Guideline B-10 — Third-Party Risk Management</t>
  </si>
  <si>
    <t xml:space="preserve">April 2023</t>
  </si>
  <si>
    <t xml:space="preserve">1 May 2024</t>
  </si>
  <si>
    <t xml:space="preserve">Supervisory guideline.</t>
  </si>
  <si>
    <t xml:space="preserve">Federally regulated financial institutions.</t>
  </si>
  <si>
    <t xml:space="preserve">ECB-GIM</t>
  </si>
  <si>
    <t xml:space="preserve">ECB Guide to internal models</t>
  </si>
  <si>
    <t xml:space="preserve">Consolidated guide; current version June 2026 (release 4.1)</t>
  </si>
  <si>
    <t xml:space="preserve">Applies to ECB supervisory assessment of internal models</t>
  </si>
  <si>
    <t xml:space="preserve">Supervisory guide. Sets out how the ECB understands and applies binding EU law; the guide itself is not a legal act and does not create obligations beyond the CRR.</t>
  </si>
  <si>
    <t xml:space="preserve">Significant institutions directly supervised by the ECB that use internal models for regulatory capital.</t>
  </si>
  <si>
    <t xml:space="preserve">ECB-CRR</t>
  </si>
  <si>
    <t xml:space="preserve">EU</t>
  </si>
  <si>
    <t xml:space="preserve">Regulation (EU) No 575/2013 (Capital Requirements Regulation), internal model provisions: Article 174 Use of models, Article 179 Overall requirements for estimation, Article 185 Validation of internal estimates, Article 188 Validation and documentation, Article 189 Corporate governance, Article 191 Internal audit</t>
  </si>
  <si>
    <t xml:space="preserve">26 June 2013, as amended</t>
  </si>
  <si>
    <t xml:space="preserve">Binding EU regulation, directly applicable in Member States. This is the binding law that the ECB guide interprets.</t>
  </si>
  <si>
    <t xml:space="preserve">Credit institutions and investment firms in the European Union.</t>
  </si>
  <si>
    <t xml:space="preserve">ECB-RDARR</t>
  </si>
  <si>
    <t xml:space="preserve">Guide on effective risk data aggregation and risk reporting</t>
  </si>
  <si>
    <t xml:space="preserve">3 May 2024</t>
  </si>
  <si>
    <t xml:space="preserve">Supervisory guide. Sets out ECB expectations; not a legal act.</t>
  </si>
  <si>
    <t xml:space="preserve">Significant institutions directly supervised by the ECB.</t>
  </si>
  <si>
    <t xml:space="preserve">MAS-AIMRM-2024</t>
  </si>
  <si>
    <t xml:space="preserve">Artificial Intelligence Model Risk Management — Observations from a Thematic Review</t>
  </si>
  <si>
    <t xml:space="preserve">December 2024</t>
  </si>
  <si>
    <t xml:space="preserve">n/a</t>
  </si>
  <si>
    <t xml:space="preserve">Information paper describing observed good practices. Not mandatory guidelines and not a Notice.</t>
  </si>
  <si>
    <t xml:space="preserve">Banks selected for the MAS thematic review; of general interest more broadly.</t>
  </si>
  <si>
    <t xml:space="preserve">MAS-FEAT</t>
  </si>
  <si>
    <t xml:space="preserve">Principles to Promote Fairness, Ethics, Accountability and Transparency (FEAT) in the Use of Artificial Intelligence and Data Analytics in Singapore's Financial Sector</t>
  </si>
  <si>
    <t xml:space="preserve">12 November 2018</t>
  </si>
  <si>
    <t xml:space="preserve">Voluntary principles. Not binding.</t>
  </si>
  <si>
    <t xml:space="preserve">Financial institutions in Singapore, on a voluntary basis.</t>
  </si>
  <si>
    <t xml:space="preserve">MAS-NOTICE637</t>
  </si>
  <si>
    <t xml:space="preserve">MAS Notice 637 — Risk Based Capital Adequacy Requirements for Banks Incorporated in Singapore</t>
  </si>
  <si>
    <t xml:space="preserve">As amended</t>
  </si>
  <si>
    <t xml:space="preserve">Binding Notice issued under the Banking Act. Legally enforceable in Singapore.</t>
  </si>
  <si>
    <t xml:space="preserve">Banks incorporated in Singapore.</t>
  </si>
  <si>
    <t xml:space="preserve">BCBS-239</t>
  </si>
  <si>
    <t xml:space="preserve">Principles for effective risk data aggregation and risk reporting (BCBS 239)</t>
  </si>
  <si>
    <t xml:space="preserve">January 2013</t>
  </si>
  <si>
    <t xml:space="preserve">1 January 2016 for G-SIBs</t>
  </si>
  <si>
    <t xml:space="preserve">BIS-classified Guidelines, not a Standard. Not directly binding; effect depends on domestic implementation by national authorities.</t>
  </si>
  <si>
    <t xml:space="preserve">Global systemically important banks, and domestic systemically important banks at national discretion.</t>
  </si>
  <si>
    <t xml:space="preserve">BCBS-STRESS</t>
  </si>
  <si>
    <t xml:space="preserve">Stress testing principles</t>
  </si>
  <si>
    <t xml:space="preserve">October 2018</t>
  </si>
  <si>
    <t xml:space="preserve">BIS-classified Guidelines. The document expressly states that the principles do not constitute Standards, for which the Basel Committee expects full implementation. Domestic effect depends on implementation by national authorities.</t>
  </si>
  <si>
    <t xml:space="preserve">Banks and supervisors, applied proportionately.</t>
  </si>
  <si>
    <t xml:space="preserve">BCBS-FVP</t>
  </si>
  <si>
    <t xml:space="preserve">Supervisory guidance for assessing banks' financial instrument fair value practices</t>
  </si>
  <si>
    <t xml:space="preserve">April 2009</t>
  </si>
  <si>
    <t xml:space="preserve">Supervisory guidance. Effect depends on domestic implementation.</t>
  </si>
  <si>
    <t xml:space="preserve">Banks and supervisors.</t>
  </si>
  <si>
    <t xml:space="preserve">BCBS-DIGI</t>
  </si>
  <si>
    <t xml:space="preserve">Digitalisation of finance</t>
  </si>
  <si>
    <t xml:space="preserve">May 2024</t>
  </si>
  <si>
    <t xml:space="preserve">Analytical report. Not a standard and not binding.</t>
  </si>
  <si>
    <t xml:space="preserve">BCBS-AIML</t>
  </si>
  <si>
    <t xml:space="preserve">Newsletter on artificial intelligence and machine learning</t>
  </si>
  <si>
    <t xml:space="preserve">16 March 2022</t>
  </si>
  <si>
    <t xml:space="preserve">Supervisory newsletter. Not a standard.</t>
  </si>
  <si>
    <t xml:space="preserve">BCBS-TPRM</t>
  </si>
  <si>
    <t xml:space="preserve">Principles for the sound management of third-party risk (BCBS d605)</t>
  </si>
  <si>
    <t xml:space="preserve">2025</t>
  </si>
  <si>
    <t xml:space="preserve">BIS-classified Guidelines, not a Standard. Domestic effect depends on implementation by national authorities.</t>
  </si>
  <si>
    <t xml:space="preserve">Primarily internationally active banks and their supervisors.</t>
  </si>
  <si>
    <t xml:space="preserve">FSB-SP-2026</t>
  </si>
  <si>
    <t xml:space="preserve">Sound Practices for Responsible Adoption of Artificial Intelligence — consultation report</t>
  </si>
  <si>
    <t xml:space="preserve">10 June 2026</t>
  </si>
  <si>
    <t xml:space="preserve">Consultation report. The FSB states expressly that the sound practices are not intended to establish an international standard. Not binding anywhere.</t>
  </si>
  <si>
    <t xml:space="preserve">Financial institutions of all types, applied proportionately.</t>
  </si>
  <si>
    <t xml:space="preserve">FSB-AI-2024</t>
  </si>
  <si>
    <t xml:space="preserve">The Financial Stability Implications of Artificial Intelligence</t>
  </si>
  <si>
    <t xml:space="preserve">14 November 2024</t>
  </si>
  <si>
    <t xml:space="preserve">Analytical report. Expressly not a standard.</t>
  </si>
  <si>
    <t xml:space="preserve">The global financial system.</t>
  </si>
  <si>
    <t xml:space="preserve">FSB-AI-2017</t>
  </si>
  <si>
    <t xml:space="preserve">Artificial intelligence and machine learning in financial services</t>
  </si>
  <si>
    <t xml:space="preserve">1 November 2017</t>
  </si>
  <si>
    <t xml:space="preserve">Analytical report. Not a standard.</t>
  </si>
  <si>
    <t xml:space="preserve">BCBS-ECL-2015</t>
  </si>
  <si>
    <t xml:space="preserve">Guidance on credit risk and accounting for expected credit losses (BCBS d350)</t>
  </si>
  <si>
    <t xml:space="preserve">18 December 2015</t>
  </si>
  <si>
    <t xml:space="preserve">BIS-classified Guidelines. Supervisory guidance intended not to contradict applicable accounting standards. Domestic effect depends on implementation; in Australia APG 220 directs ADIs to have regard to it.</t>
  </si>
  <si>
    <t xml:space="preserve">Banks and banking supervisors. Written around IFRS 9-type expected credit loss accounting frameworks.</t>
  </si>
  <si>
    <t xml:space="preserve">BCBS-CR-NL-2023</t>
  </si>
  <si>
    <t xml:space="preserve">Newsletter on credit risk issues (bcbs_nl32)</t>
  </si>
  <si>
    <t xml:space="preserve">4 July 2023</t>
  </si>
  <si>
    <t xml:space="preserve">Supervisory newsletter. Not a standard and not binding.</t>
  </si>
  <si>
    <t xml:space="preserve">APRA-APS220</t>
  </si>
  <si>
    <t xml:space="preserve">APRA</t>
  </si>
  <si>
    <t xml:space="preserve">Prudential Standard APS 220 Credit Risk Management</t>
  </si>
  <si>
    <t xml:space="preserve">Current at the as-of date</t>
  </si>
  <si>
    <t xml:space="preserve">Commenced 1 January 2023</t>
  </si>
  <si>
    <t xml:space="preserve">Binding prudential standard.</t>
  </si>
  <si>
    <t xml:space="preserve">Authorised deposit-taking institutions.</t>
  </si>
  <si>
    <t xml:space="preserve">APRA-APS310</t>
  </si>
  <si>
    <t xml:space="preserve">Prudential Standard APS 310 Audit and Related Matters</t>
  </si>
  <si>
    <t xml:space="preserve">APRA-GPS310</t>
  </si>
  <si>
    <t xml:space="preserve">Prudential Standard GPS 310 Audit and Related Matters</t>
  </si>
  <si>
    <t xml:space="preserve">Commenced 1 October 2024</t>
  </si>
  <si>
    <t xml:space="preserve">General insurers and Level 2 insurance groups.</t>
  </si>
  <si>
    <t xml:space="preserve">APRA-LPS310</t>
  </si>
  <si>
    <t xml:space="preserve">Prudential Standard LPS 310 Audit and Related Matters</t>
  </si>
  <si>
    <t xml:space="preserve">Commenced 18 December 2023</t>
  </si>
  <si>
    <t xml:space="preserve">Life companies, including friendly societies.</t>
  </si>
  <si>
    <t xml:space="preserve">APRA-HPS310</t>
  </si>
  <si>
    <t xml:space="preserve">Prudential Standard HPS 310 Audit and Related Matters</t>
  </si>
  <si>
    <t xml:space="preserve">Commenced 1 July 2023</t>
  </si>
  <si>
    <t xml:space="preserve">Private health insurers.</t>
  </si>
  <si>
    <t xml:space="preserve">APRA-SPS310</t>
  </si>
  <si>
    <t xml:space="preserve">Prudential Standard SPS 310 Audit and Related Matters</t>
  </si>
  <si>
    <t xml:space="preserve">Commenced 30 June 2024</t>
  </si>
  <si>
    <t xml:space="preserve">RSE licensees.</t>
  </si>
  <si>
    <t xml:space="preserve">APRA-APG220</t>
  </si>
  <si>
    <t xml:space="preserve">Prudential Practice Guide APG 220 Credit Risk Management</t>
  </si>
  <si>
    <t xml:space="preserve">Prudential practice guide. Non-enforceable guidance.</t>
  </si>
  <si>
    <t xml:space="preserve">ADIs implementing APS 220.</t>
  </si>
  <si>
    <t xml:space="preserve">APRA-PROV-2023</t>
  </si>
  <si>
    <t xml:space="preserve">Letter — Credit risk provisioning practices for locally incorporated authorised deposit-taking institutions</t>
  </si>
  <si>
    <t xml:space="preserve">19 October 2023</t>
  </si>
  <si>
    <t xml:space="preserve">Letter to industry. Supervisory observations and expectations; not a prudential standard.</t>
  </si>
  <si>
    <t xml:space="preserve">Locally incorporated ADIs.</t>
  </si>
  <si>
    <t xml:space="preserve">AASB-9</t>
  </si>
  <si>
    <t xml:space="preserve">AASB</t>
  </si>
  <si>
    <t xml:space="preserve">AASB 9 Financial Instruments</t>
  </si>
  <si>
    <t xml:space="preserve">Australian Accounting Standard. Binding for financial reporting purposes under the Corporations Act; not a prudential instrument.</t>
  </si>
  <si>
    <t xml:space="preserve">Entities preparing financial statements under Australian Accounting Standards.</t>
  </si>
  <si>
    <t xml:space="preserve">APRA-CPG110</t>
  </si>
  <si>
    <t xml:space="preserve">Prudential Practice Guide CPG 110 Internal Capital Adequacy Assessment Process and Supervisory Review</t>
  </si>
  <si>
    <t xml:space="preserve">APRA-regulated entities conducting an ICAAP.</t>
  </si>
  <si>
    <t xml:space="preserve">APRA-CPS001</t>
  </si>
  <si>
    <t xml:space="preserve">Prudential Standard CPS 001 Defined terms</t>
  </si>
  <si>
    <t xml:space="preserve">In force at the as-of date</t>
  </si>
  <si>
    <t xml:space="preserve">APRA-regulated entities, as the source of cross-industry defined terms.</t>
  </si>
  <si>
    <t xml:space="preserve">APRA-CPS220</t>
  </si>
  <si>
    <t xml:space="preserve">Prudential Standard CPS 220 Risk Management</t>
  </si>
  <si>
    <t xml:space="preserve">July 2019 text</t>
  </si>
  <si>
    <t xml:space="preserve">Commenced 1 July 2019</t>
  </si>
  <si>
    <t xml:space="preserve">Binding cross-industry prudential standard.</t>
  </si>
  <si>
    <t xml:space="preserve">APRA-regulated entities as defined in CPS 220. SPS 220 is the RSE licensee counterpart.</t>
  </si>
  <si>
    <t xml:space="preserve">APRA-SPS220</t>
  </si>
  <si>
    <t xml:space="preserve">Prudential Standard SPS 220 Risk Management</t>
  </si>
  <si>
    <t xml:space="preserve">January 2023 text</t>
  </si>
  <si>
    <t xml:space="preserve">APRA-CPS230</t>
  </si>
  <si>
    <t xml:space="preserve">Prudential Standard CPS 230 Operational Risk Management</t>
  </si>
  <si>
    <t xml:space="preserve">Current determination made 23 April 2026</t>
  </si>
  <si>
    <t xml:space="preserve">1 July 2026</t>
  </si>
  <si>
    <t xml:space="preserve">Binding cross-industry prudential standard. The current determination revokes and replaces the 2023 determination, under which CPS 230 commenced on 1 July 2025.</t>
  </si>
  <si>
    <t xml:space="preserve">APRA-regulated entities as defined in CPS 230.</t>
  </si>
  <si>
    <t xml:space="preserve">APRA-CPS234</t>
  </si>
  <si>
    <t xml:space="preserve">Prudential Standard CPS 234 Information Security</t>
  </si>
  <si>
    <t xml:space="preserve">APRA-regulated entities as defined in CPS 234.</t>
  </si>
  <si>
    <t xml:space="preserve">APRA-CPG235</t>
  </si>
  <si>
    <t xml:space="preserve">Prudential Practice Guide CPG 235 Managing Data Risk</t>
  </si>
  <si>
    <t xml:space="preserve">September 2013</t>
  </si>
  <si>
    <t xml:space="preserve">APRA-regulated entities.</t>
  </si>
  <si>
    <t xml:space="preserve">APRA-APS113</t>
  </si>
  <si>
    <t xml:space="preserve">Prudential Standard APS 113 Capital Adequacy: Internal Ratings-based Approach to Credit Risk</t>
  </si>
  <si>
    <t xml:space="preserve">Final released 4 June 2026</t>
  </si>
  <si>
    <t xml:space="preserve">Commenced 30 June 2026</t>
  </si>
  <si>
    <t xml:space="preserve">ADIs approved by APRA to use the internal ratings-based approach.</t>
  </si>
  <si>
    <t xml:space="preserve">APRA-CPS320</t>
  </si>
  <si>
    <t xml:space="preserve">Prudential Standard CPS 320 Actuarial and Related Matters</t>
  </si>
  <si>
    <t xml:space="preserve">Determination made 29 April 2026</t>
  </si>
  <si>
    <t xml:space="preserve">Commenced 1 July 2026</t>
  </si>
  <si>
    <t xml:space="preserve">Insurers as defined in the standard.</t>
  </si>
  <si>
    <t xml:space="preserve">APRA-SPS530</t>
  </si>
  <si>
    <t xml:space="preserve">Prudential Standard SPS 530 Investment Governance</t>
  </si>
  <si>
    <t xml:space="preserve">APRA-HPS110</t>
  </si>
  <si>
    <t xml:space="preserve">Prudential Standard HPS 110 Capital Adequacy (private health insurance)</t>
  </si>
  <si>
    <t xml:space="preserve">APRA-SPS114</t>
  </si>
  <si>
    <t xml:space="preserve">Prudential Standard SPS 114 Operational Risk Financial Requirement</t>
  </si>
  <si>
    <t xml:space="preserve">APRA-SPS515</t>
  </si>
  <si>
    <t xml:space="preserve">Prudential Standard SPS 515 Strategic Planning and Member Outcomes</t>
  </si>
  <si>
    <t xml:space="preserve">Draft CPS XXXX requirements register</t>
  </si>
  <si>
    <t xml:space="preserve">POLICY DEVELOPMENT DRAFT — NOT IN FORCE | Mandatory wording appears in bold in the Word standard; this sheet records provenance and rationale.</t>
  </si>
  <si>
    <t xml:space="preserve">ID</t>
  </si>
  <si>
    <t xml:space="preserve">Part</t>
  </si>
  <si>
    <t xml:space="preserve">Section</t>
  </si>
  <si>
    <t xml:space="preserve">Title</t>
  </si>
  <si>
    <t xml:space="preserve">Mandatory requirement</t>
  </si>
  <si>
    <t xml:space="preserve">Provenance</t>
  </si>
  <si>
    <t xml:space="preserve">Rationale</t>
  </si>
  <si>
    <t xml:space="preserve">Policy choice?</t>
  </si>
  <si>
    <t xml:space="preserve">Legal flag?</t>
  </si>
  <si>
    <t xml:space="preserve">International principle</t>
  </si>
  <si>
    <t xml:space="preserve">CPG XXXX paragraphs</t>
  </si>
  <si>
    <t xml:space="preserve">Part A — Application and interpretation</t>
  </si>
  <si>
    <t xml:space="preserve">1. Application and scope</t>
  </si>
  <si>
    <t xml:space="preserve">Enterprise-wide application and retained accountability</t>
  </si>
  <si>
    <t xml:space="preserve">An APRA-regulated entity must identify, assess, manage, monitor and report model risk arising from every model that it develops, acquires, configures, deploys or relies upon, whether the model is built internally, supplied by a third party or embedded within another system, and remains accountable for that model risk irrespective of who developed or operates the model.</t>
  </si>
  <si>
    <t xml:space="preserve">US-MRM-2026, PRA-SS1-23, OSFI-E23, APRA-CPS220, ECB-GIM</t>
  </si>
  <si>
    <t xml:space="preserve">Extracted</t>
  </si>
  <si>
    <t xml:space="preserve">Every comparator applies model risk management on an enterprise basis and none permits accountability to follow the model out of the institution.</t>
  </si>
  <si>
    <t xml:space="preserve">No</t>
  </si>
  <si>
    <t xml:space="preserve">US interagency guidance 2026 §III; PRA SS1/23 Principle 1; OSFI E-23 enterprise-wide MRM</t>
  </si>
  <si>
    <t xml:space="preserve">15–16</t>
  </si>
  <si>
    <t xml:space="preserve">M02</t>
  </si>
  <si>
    <t xml:space="preserve">An APRA-regulated entity must apply a documented definition of a model that captures any quantitative method, system or approach that applies statistical, economic, financial, actuarial or mathematical theories, techniques or assumptions to process input data into quantitative estimates, and must treat model risk as the potential for adverse consequences from decisions based on incorrect or misused model outputs.</t>
  </si>
  <si>
    <t xml:space="preserve">Extracted + inferred</t>
  </si>
  <si>
    <t xml:space="preserve">A broad, function-based definition follows the PRA and OSFI approach. The United States narrowed its definition in April 2026 to complex methods only, expressly excluding spreadsheet arithmetic and deterministic rule-based processes; that narrowing is not adopted here because it would exclude actuarial and unit pricing calculations central to the Australian cross-industry perimeter. The divergence is deliberate and recorded.</t>
  </si>
  <si>
    <t xml:space="preserve">PRA SS1/23 Principle 1.1 Model definition; OSFI E-23 (2027) key terms; US interagency guidance 2026 §II (narrower — excludes deterministic and arithmetic methods)</t>
  </si>
  <si>
    <t xml:space="preserve">8–12</t>
  </si>
  <si>
    <t xml:space="preserve">M03</t>
  </si>
  <si>
    <t xml:space="preserve">Quantitative tools that are not models</t>
  </si>
  <si>
    <t xml:space="preserve">An APRA-regulated entity must identify material quantitative decision tools that fall outside its model definition — being tools whose output is fully determined by their inputs and documented rules, without estimation, statistical inference or an embedded assumption about an uncertain quantity, and whose output does not determine a regulatory figure, a reported valuation or an amount attributable to a customer or beneficiary — record them, and apply controls proportionate to the risk they present.</t>
  </si>
  <si>
    <t xml:space="preserve">The PRA expressly requires firms to consider quantitative methods that fall outside the model definition; without this, a narrow model definition becomes a control gap.</t>
  </si>
  <si>
    <t xml:space="preserve">PRA SS1/23 Principle 1 (identification of non-model quantitative methods)</t>
  </si>
  <si>
    <t xml:space="preserve">12–14</t>
  </si>
  <si>
    <t xml:space="preserve">M04</t>
  </si>
  <si>
    <t xml:space="preserve">2. Proportionality</t>
  </si>
  <si>
    <t xml:space="preserve">Proportionality and controlled exceptions</t>
  </si>
  <si>
    <t xml:space="preserve">An APRA-regulated entity must apply this Prudential Standard in a manner proportionate to the materiality, complexity, autonomy and criticality of each model and to the size and business mix of the entity, must be able to demonstrate that the intensity of controls applied to each model reflects its model risk tier and that models of equivalent tier are treated consistently, and must document, time-bound, approve at an authority commensurate with the risk and periodically review any departure from its own model risk policies and standards.</t>
  </si>
  <si>
    <t xml:space="preserve">PRA-SS1-23, OSFI-E23, US-MRM-2026, APRA-CPS220, BCBS-239</t>
  </si>
  <si>
    <t xml:space="preserve">Proportionality is universal across the comparators; the explicit control of exceptions is drawn from APRA's existing risk management architecture.</t>
  </si>
  <si>
    <t xml:space="preserve">PRA SS1/23 proportionality; OSFI E-23 risk-based application; US interagency guidance 2026 §II</t>
  </si>
  <si>
    <t xml:space="preserve">17, 28–29</t>
  </si>
  <si>
    <t xml:space="preserve">M05</t>
  </si>
  <si>
    <t xml:space="preserve">De minimis models</t>
  </si>
  <si>
    <t xml:space="preserve">An APRA-regulated entity may determine that a model is de minimis, and apply to that model only the identification, inventory, ownership, classification and reassessment requirements of this Prudential Standard, where the entity has assessed and documented that an error in, or misuse of, the model could not have a material effect on its financial position, its regulatory obligations, its critical operations, or amounts or entitlements attributable to its customers or beneficiaries. The entity must record the determination and the reasoning for it, approve it at an authority commensurate with the risk, assess whether models individually determined to be de minimis are material in aggregate, and reassess each determination on the occurrence of a trigger event and at a frequency set out in its model risk policy.</t>
  </si>
  <si>
    <t xml:space="preserve">OSFI-E23, PRA-SS1-23, US-MRM-2026, APRA-CPS220</t>
  </si>
  <si>
    <t xml:space="preserve">Each comparator relieves low-consequence models of the full lifecycle while keeping them within identification. The 2026 US guidance states that where models are deemed immaterial, model risk management may consist of identifying those models and monitoring the conditions under which their use may become material. OSFI reaches the same result through Principles 2.1 and 2.3. The aggregate test, the prohibited classes and the anti-disaggregation limb are drafting choices that close the obvious routes to misuse of the exception.</t>
  </si>
  <si>
    <t xml:space="preserve">Yes</t>
  </si>
  <si>
    <t xml:space="preserve">OSFI E-23 (2027) Principle 2.3 (scope, scale and intensity commensurate with model risk) read with Principle 2.1 (identify and track all models); PRA SS1/23 Principle 1.3 Model tiering; US interagency guidance 2026 §III (models deemed immaterial)</t>
  </si>
  <si>
    <t xml:space="preserve">22–27</t>
  </si>
  <si>
    <t xml:space="preserve">M06</t>
  </si>
  <si>
    <t xml:space="preserve">Part B — Governance and accountability</t>
  </si>
  <si>
    <t xml:space="preserve">3. Board and senior management</t>
  </si>
  <si>
    <t xml:space="preserve">The Board of an APRA-regulated entity must approve the model risk management framework and the entity's appetite for model risk, and must satisfy itself that model risk is being managed within that appetite and that it receives information sufficient to form that judgement.</t>
  </si>
  <si>
    <t xml:space="preserve">Board approval of the framework and appetite is common to every comparator.</t>
  </si>
  <si>
    <t xml:space="preserve">PRA SS1/23 Principle 2 (governance); US interagency guidance 2026 §VI; OSFI E-23 governance</t>
  </si>
  <si>
    <t xml:space="preserve">32–33, 35</t>
  </si>
  <si>
    <t xml:space="preserve">M07</t>
  </si>
  <si>
    <t xml:space="preserve">An APRA-regulated entity must assign accountability for the design, implementation and effectiveness of the model risk management framework to a named senior executive with sufficient authority, independence from model development and business sponsorship, and resources to discharge it.</t>
  </si>
  <si>
    <t xml:space="preserve">PRA-SS1-23, US-MRM-2026, OSFI-E23, APRA-CPS220</t>
  </si>
  <si>
    <t xml:space="preserve">The PRA allocates model risk management to a senior management function; OSFI and the US guidance require clear senior ownership.</t>
  </si>
  <si>
    <t xml:space="preserve">PRA SS1/23 Principle 2 (senior management function accountability); OSFI E-23 accountability</t>
  </si>
  <si>
    <t xml:space="preserve">36–37</t>
  </si>
  <si>
    <t xml:space="preserve">M08</t>
  </si>
  <si>
    <t xml:space="preserve">Model ownership and defined lifecycle roles</t>
  </si>
  <si>
    <t xml:space="preserve">An APRA-regulated entity must assign, for each model, a model owner accountable for the model throughout its lifecycle, and must define the roles, responsibilities and required independence of developers, validators, approvers, users and those responsible for monitoring. Where development, validation, approval or monitoring is performed by another member of the entity's group or by a related body corporate, the entity must satisfy itself that the work meets the requirements of this Prudential Standard and must retain the ability to direct, challenge and obtain evidence of it.</t>
  </si>
  <si>
    <t xml:space="preserve">US-MRM-2026, OSFI-E23, PRA-SS1-23, ECB-GIM</t>
  </si>
  <si>
    <t xml:space="preserve">Role definition with named model owners is explicit in the US, Canadian and ECB material.</t>
  </si>
  <si>
    <t xml:space="preserve">US interagency guidance 2026 §VI (roles and responsibilities); OSFI E-23 (2027) §A.4, defining Model Owner, Model Developer, Model Reviewer, Model Approver, Model User and Model Stakeholder; ECB guide §5</t>
  </si>
  <si>
    <t xml:space="preserve">38–39</t>
  </si>
  <si>
    <t xml:space="preserve">M09</t>
  </si>
  <si>
    <t xml:space="preserve">4. Capability and independence</t>
  </si>
  <si>
    <t xml:space="preserve">Capability, resourcing and independence</t>
  </si>
  <si>
    <t xml:space="preserve">An APRA-regulated entity must maintain personnel, skills, tools and organisational arrangements sufficient to develop, use, validate, challenge and assure its models, with validation performed by persons who are independent of, and not accountable to, those who developed the model or who sponsor its business use.</t>
  </si>
  <si>
    <t xml:space="preserve">US-MRM-2026, PRA-SS1-23, OSFI-E23, ECB-GIM, MAS-AIMRM-2024</t>
  </si>
  <si>
    <t xml:space="preserve">Independent validation is a core element of every comparator regime.</t>
  </si>
  <si>
    <t xml:space="preserve">US interagency guidance 2026 §V; PRA SS1/23 Principle 4.1; PRA SS1/23 Principle 4; ECB internal validation</t>
  </si>
  <si>
    <t xml:space="preserve">40–42</t>
  </si>
  <si>
    <t xml:space="preserve">M10</t>
  </si>
  <si>
    <t xml:space="preserve">Part C — Framework, appetite and policy</t>
  </si>
  <si>
    <t xml:space="preserve">5. Model risk management framework</t>
  </si>
  <si>
    <t xml:space="preserve">Integrated model risk management framework</t>
  </si>
  <si>
    <t xml:space="preserve">An APRA-regulated entity must maintain a documented model risk management framework, integrated with its risk management framework, that covers model identification, inventory, tiering, development, data, testing, validation, approval, implementation, use, monitoring, change, limitations, remediation, decommissioning, reporting and assurance.</t>
  </si>
  <si>
    <t xml:space="preserve">PRA-SS1-23, OSFI-E23, US-MRM-2026, APRA-CPS220, APRA-CPS230</t>
  </si>
  <si>
    <t xml:space="preserve">A documented enterprise framework is required by each of the comparator regimes.</t>
  </si>
  <si>
    <t xml:space="preserve">PRA SS1/23 Principle 2; OSFI E-23 enterprise framework; US interagency guidance 2026 §VI</t>
  </si>
  <si>
    <t xml:space="preserve">43–44</t>
  </si>
  <si>
    <t xml:space="preserve">Model risk appetite and limits</t>
  </si>
  <si>
    <t xml:space="preserve">An APRA-regulated entity must define its appetite for model risk, express it in terms capable of being monitored, and establish limits, thresholds and escalation triggers against which model risk is measured and reported.</t>
  </si>
  <si>
    <t xml:space="preserve">PRA-SS1-23, OSFI-E23, APRA-CPS220, US-MRM-2026</t>
  </si>
  <si>
    <t xml:space="preserve">Comparators require a risk appetite for model risk; requiring it to be measurable is a drafting choice that makes the obligation supervisable.</t>
  </si>
  <si>
    <t xml:space="preserve">PRA SS1/23 Principle 2 (risk appetite); OSFI E-23 framework aligned to risk appetite</t>
  </si>
  <si>
    <t xml:space="preserve">45–47</t>
  </si>
  <si>
    <t xml:space="preserve">M12</t>
  </si>
  <si>
    <t xml:space="preserve">Policy, standards and consistency of application</t>
  </si>
  <si>
    <t xml:space="preserve">An APRA-regulated entity must maintain model risk policies and standards that are approved at an appropriate authority, applied consistently across the entity, reviewed at least annually, and version-controlled.</t>
  </si>
  <si>
    <t xml:space="preserve">Policy and standards documentation is an explicit expectation across the comparator set.</t>
  </si>
  <si>
    <t xml:space="preserve">US interagency guidance 2026 §VI policies; OSFI E-23 policies and procedures</t>
  </si>
  <si>
    <t xml:space="preserve">48–49</t>
  </si>
  <si>
    <t xml:space="preserve">M13</t>
  </si>
  <si>
    <t xml:space="preserve">6. Reporting and escalation</t>
  </si>
  <si>
    <t xml:space="preserve">Management information and escalation</t>
  </si>
  <si>
    <t xml:space="preserve">An APRA-regulated entity must provide the Board and senior management with timely and accurate information on model risk, including tiering profile, validation status, unresolved findings, material limitations, overlays, incidents, exceptions and remediation, and must escalate breaches of model risk limits and material model failures.</t>
  </si>
  <si>
    <t xml:space="preserve">PRA-SS1-23, OSFI-E23, US-MRM-2026, BCBS-239, APRA-CPS220</t>
  </si>
  <si>
    <t xml:space="preserve">Reporting on model risk to the Board is required or expected by every comparator.</t>
  </si>
  <si>
    <t xml:space="preserve">PRA SS1/23 Principle 2.1 (board responsibilities, including reporting on model risk); OSFI E-23 (2027) Outcome 1; BCBS 239 risk reporting practices</t>
  </si>
  <si>
    <t xml:space="preserve">33–34, 87</t>
  </si>
  <si>
    <t xml:space="preserve">Part D — Identification, inventory and tiering</t>
  </si>
  <si>
    <t xml:space="preserve">7. Inventory</t>
  </si>
  <si>
    <t xml:space="preserve">Model identification and enterprise inventory</t>
  </si>
  <si>
    <t xml:space="preserve">An APRA-regulated entity must maintain an enterprise-wide inventory of its models and must maintain processes designed to ensure that the inventory is complete, accurate and current, including models supplied by third parties, models embedded in acquired systems, models under development and models that have been retired but whose outputs remain in use, recording at least the fields set out in Annex B.</t>
  </si>
  <si>
    <t xml:space="preserve">PRA-SS1-23, US-MRM-2026, OSFI-E23, ECB-GIM, MAS-AIMRM-2024</t>
  </si>
  <si>
    <t xml:space="preserve">A comprehensive inventory is a named principle for the PRA (1.2) and OSFI (2.1). The 2026 US guidance describes it as common industry practice rather than an expectation, which is one reason to state it as a requirement here.</t>
  </si>
  <si>
    <t xml:space="preserve">PRA SS1/23 Principle 1; US interagency guidance 2026 §VI inventory; OSFI E-23 model inventory</t>
  </si>
  <si>
    <t xml:space="preserve">24, 50–54</t>
  </si>
  <si>
    <t xml:space="preserve">M15</t>
  </si>
  <si>
    <t xml:space="preserve">8. Tiering</t>
  </si>
  <si>
    <t xml:space="preserve">Model risk tiering</t>
  </si>
  <si>
    <t xml:space="preserve">An APRA-regulated entity must apply a documented and consistently implemented methodology to assign each model a model risk tier, using both quantitative and qualitative factors, and must use that tier to determine the intensity of development, documentation, validation, approval, monitoring and reporting applied to the model.</t>
  </si>
  <si>
    <t xml:space="preserve">PRA-SS1-23, OSFI-E23, US-MRM-2026, MAS-AIMRM-2024, ECB-GIM</t>
  </si>
  <si>
    <t xml:space="preserve">Risk-based tiering driving control intensity is the mechanism every comparator uses to make proportionality operational.</t>
  </si>
  <si>
    <t xml:space="preserve">PRA SS1/23 Principle 1 (model risk classification); OSFI E-23 model risk rating</t>
  </si>
  <si>
    <t xml:space="preserve">17–21</t>
  </si>
  <si>
    <t xml:space="preserve">M16</t>
  </si>
  <si>
    <t xml:space="preserve">Reassessment and trigger events</t>
  </si>
  <si>
    <t xml:space="preserve">An APRA-regulated entity must reassess a model's tier and required controls at a frequency proportionate to its tier and upon the occurrence of defined trigger events, including material change to the model, its data, its purpose, its user base, its operating environment or the entity's reliance on it.</t>
  </si>
  <si>
    <t xml:space="preserve">OSFI-E23, PRA-SS1-23, ECB-GIM, US-MRM-2026</t>
  </si>
  <si>
    <t xml:space="preserve">Trigger-based reassessment is explicit in OSFI and ECB material.</t>
  </si>
  <si>
    <t xml:space="preserve">OSFI E-23 review triggers; ECB model change management</t>
  </si>
  <si>
    <t xml:space="preserve">27, 30–31</t>
  </si>
  <si>
    <t xml:space="preserve">Part E — Development, data and documentation</t>
  </si>
  <si>
    <t xml:space="preserve">9. Development</t>
  </si>
  <si>
    <t xml:space="preserve">Conceptual soundness and development standards</t>
  </si>
  <si>
    <t xml:space="preserve">An APRA-regulated entity must ensure that each model is developed in accordance with documented standards, is conceptually sound, is fit for its intended purpose, and that the design, theory, methodology, assumptions, variable selection and known limitations are justified and recorded.</t>
  </si>
  <si>
    <t xml:space="preserve">US-MRM-2026, PRA-SS1-23, OSFI-E23, ECB-GIM</t>
  </si>
  <si>
    <t xml:space="preserve">Conceptual soundness is the central development concept in the US, UK, Canadian and ECB regimes.</t>
  </si>
  <si>
    <t xml:space="preserve">US interagency guidance 2026 §IV; PRA SS1/23 Principle 3; ECB internal models general topics</t>
  </si>
  <si>
    <t xml:space="preserve">55–58</t>
  </si>
  <si>
    <t xml:space="preserve">10. Data</t>
  </si>
  <si>
    <t xml:space="preserve">An APRA-regulated entity must ensure that data used to develop, calibrate, test, operate and monitor a model is appropriate for that purpose, of sufficient quality, traceable to source, and that material data limitations, proxies, adjustments and exclusions are documented and their effect on model output assessed.</t>
  </si>
  <si>
    <t xml:space="preserve">BCBS-239, US-MRM-2026, OSFI-E23, ECB-GIM, APRA-CPG235, ECB-RDARR</t>
  </si>
  <si>
    <t xml:space="preserve">Data quality and appropriateness obligations are present in all comparator regimes.</t>
  </si>
  <si>
    <t xml:space="preserve">BCBS 239 risk data aggregation capabilities; US interagency guidance 2026 §IV data; ECB data quality</t>
  </si>
  <si>
    <t xml:space="preserve">59–62</t>
  </si>
  <si>
    <t xml:space="preserve">11. Documentation</t>
  </si>
  <si>
    <t xml:space="preserve">Documentation sufficient for independent reconstruction</t>
  </si>
  <si>
    <t xml:space="preserve">An APRA-regulated entity must maintain model documentation sufficient for a competent person independent of the model's development to understand its purpose, design, data, assumptions, implementation, limitations, testing, approved conditions of use and performance, and to reproduce its material results.</t>
  </si>
  <si>
    <t xml:space="preserve">US-MRM-2026, PRA-SS1-23, ECB-GIM, OSFI-E23</t>
  </si>
  <si>
    <t xml:space="preserve">Documentation obligations are explicit for the PRA (3.5) and binding under CRR Article 188 as interpreted by the ECB guide. The 2026 US guidance reduced its treatment to a permissive statement, so the reconstruction standard is stated here rather than inherited.</t>
  </si>
  <si>
    <t xml:space="preserve">US interagency guidance 2026 §VI documentation; PRA SS1/23 Principle 3; ECB documentation requirements</t>
  </si>
  <si>
    <t xml:space="preserve">63–64</t>
  </si>
  <si>
    <t xml:space="preserve">Part F — Testing, validation and approval</t>
  </si>
  <si>
    <t xml:space="preserve">12. Testing before use</t>
  </si>
  <si>
    <t xml:space="preserve">An APRA-regulated entity must not place a model into use for a material purpose until it has been tested against its design objective and intended use, the results have been documented, and residual limitations have been accepted at an appropriate authority.</t>
  </si>
  <si>
    <t xml:space="preserve">Development testing is universal; expressing it as a bar to use for material purposes makes it an enforceable gate rather than a process expectation.</t>
  </si>
  <si>
    <t xml:space="preserve">US interagency guidance 2026 §IV (model testing); PRA SS1/23 Principle 3; ECB pre-approval testing</t>
  </si>
  <si>
    <t xml:space="preserve">65–67</t>
  </si>
  <si>
    <t xml:space="preserve">M21</t>
  </si>
  <si>
    <t xml:space="preserve">13. Independent validation</t>
  </si>
  <si>
    <t xml:space="preserve">An APRA-regulated entity must subject each model to independent validation before it is used for a material purpose and periodically thereafter at a frequency determined by its tier, and must not treat validation performed by the model's developer, its business sponsor or its vendor as satisfying this requirement. Where an urgent business need requires a model to be used before independent validation is complete, the entity must approve that use at an authority commensurate with the model's tier, apply compensating controls, inform users of the limitation and complete the validation within a defined period.</t>
  </si>
  <si>
    <t xml:space="preserve">US-MRM-2026, PRA-SS1-23, OSFI-E23, ECB-GIM, MAS-NOTICE637</t>
  </si>
  <si>
    <t xml:space="preserve">Independent validation is a named principle or core element in every comparator regime.</t>
  </si>
  <si>
    <t xml:space="preserve">US interagency guidance 2026 §V; PRA SS1/23 Principle 4; OSFI E-23 independent review; ECB internal validation</t>
  </si>
  <si>
    <t xml:space="preserve">75</t>
  </si>
  <si>
    <t xml:space="preserve">M22</t>
  </si>
  <si>
    <t xml:space="preserve">Scope of validation</t>
  </si>
  <si>
    <t xml:space="preserve">Validation of a model must address conceptual soundness, outcomes analysis comparing model outputs with corresponding actual outcomes to the extent those outcomes are observable and sufficient for the purpose, and ongoing model monitoring, and must reach an explicit conclusion on the model's fitness for its intended use together with any conditions or limitations. Where outcomes are not observable, the entity must apply alternative evidence of performance, including benchmarking, sensitivity analysis and assessment of assumptions.</t>
  </si>
  <si>
    <t xml:space="preserve">The three core elements of validation are the most widely adopted formulation in the discipline and originate in the US interagency guidance.</t>
  </si>
  <si>
    <t xml:space="preserve">US interagency guidance 2026 §V (components of model validation); PRA SS1/23 Principle 4</t>
  </si>
  <si>
    <t xml:space="preserve">68–71</t>
  </si>
  <si>
    <t xml:space="preserve">An APRA-regulated entity must ensure that its models are subject to effective challenge — critical and objective analysis by persons with the expertise to identify model limitations, sufficient independence to maintain objectivity, and the organisational standing and influence to effect change.</t>
  </si>
  <si>
    <t xml:space="preserve">Effective challenge is the organising concept of the US guidance and is adopted in substance by the PRA and OSFI.</t>
  </si>
  <si>
    <t xml:space="preserve">US interagency guidance 2026 §III (effective challenge); PRA SS1/23 Principle 4</t>
  </si>
  <si>
    <t xml:space="preserve">72–74</t>
  </si>
  <si>
    <t xml:space="preserve">14. Approval</t>
  </si>
  <si>
    <t xml:space="preserve">An APRA-regulated entity must approve each model for a defined purpose and defined conditions of use at an authority commensurate with its tier, having considered the validation conclusion, unresolved findings, limitations, compensating controls and residual model risk, and must record the approved version, scope, users, limits, monitoring thresholds and review date.</t>
  </si>
  <si>
    <t xml:space="preserve">US-MRM-2026, OSFI-E23, ECB-GIM, PRA-SS1-23</t>
  </si>
  <si>
    <t xml:space="preserve">Approval with defined conditions of use is explicit in the Canadian and ECB regimes.</t>
  </si>
  <si>
    <t xml:space="preserve">OSFI E-23 approval; ECB model approval and use; US interagency guidance 2026 §VI</t>
  </si>
  <si>
    <t xml:space="preserve">76–78</t>
  </si>
  <si>
    <t xml:space="preserve">Part G — Implementation, use and change</t>
  </si>
  <si>
    <t xml:space="preserve">15. Implementation</t>
  </si>
  <si>
    <t xml:space="preserve">An APRA-regulated entity must control the implementation of a model into its production environment, including verification that the implemented model reproduces the approved model, control over input data feeds and computing environment, access control, and the ability to revert.</t>
  </si>
  <si>
    <t xml:space="preserve">ECB-GIM, OSFI-E23</t>
  </si>
  <si>
    <t xml:space="preserve">Implementation control is explicit in the ECB internal models framework and in OSFI E-23 Principle 3.5. The 2026 US guidance does not carry forward the 2011 implementation section, so no current US support is claimed.</t>
  </si>
  <si>
    <t xml:space="preserve">ECB guide §10 and credit risk chapter (implementation of a changed or extended model); OSFI E-23 (2027) Principle 3.5; the rescinded 2011 US guidance §IV, not carried forward in 2026</t>
  </si>
  <si>
    <t xml:space="preserve">70, 79–80</t>
  </si>
  <si>
    <t xml:space="preserve">16. Change</t>
  </si>
  <si>
    <t xml:space="preserve">An APRA-regulated entity must control changes to models, model inputs, assumptions, calibration and implementation, must assess the materiality of each change, and must re-test, re-validate and re-approve changes to the extent warranted by that assessment.</t>
  </si>
  <si>
    <t xml:space="preserve">ECB-GIM, OSFI-E23, US-MRM-2026, PRA-SS1-23</t>
  </si>
  <si>
    <t xml:space="preserve">Model change management is a distinct and detailed obligation in the ECB regime.</t>
  </si>
  <si>
    <t xml:space="preserve">ECB management of model changes; OSFI E-23 model changes; PRA SS1/23 Principle 3</t>
  </si>
  <si>
    <t xml:space="preserve">81–82, 105</t>
  </si>
  <si>
    <t xml:space="preserve">17. Use</t>
  </si>
  <si>
    <t xml:space="preserve">Use consistent with approved purpose</t>
  </si>
  <si>
    <t xml:space="preserve">An APRA-regulated entity must ensure that models are used only for their approved purposes and within their approved conditions, and that users understand the model's purpose, key assumptions, limitations and the circumstances in which its output should not be relied upon.</t>
  </si>
  <si>
    <t xml:space="preserve">Controlling model use is one of the two limbs of the standard definition of model risk.</t>
  </si>
  <si>
    <t xml:space="preserve">US interagency guidance 2026 §IV (model use); PRA SS1/23 Principle 3; ECB use test</t>
  </si>
  <si>
    <t xml:space="preserve">83–84</t>
  </si>
  <si>
    <t xml:space="preserve">An APRA-regulated entity must govern adjustments, overlays and expert judgement applied to model output, including the basis for the adjustment, its quantification, approval at an authority commensurate with its size and effect, its documentation, its monitoring and the conditions for its removal.</t>
  </si>
  <si>
    <t xml:space="preserve">ECB-GIM, PRA-SS1-23, OSFI-E23, US-MRM-2026</t>
  </si>
  <si>
    <t xml:space="preserve">Post-model adjustments are expressly addressed by the PRA as a model risk mitigant and by the ECB through the margin of conservatism framework.</t>
  </si>
  <si>
    <t xml:space="preserve">PRA SS1/23 Principle 5 (post-model adjustments); ECB margin of conservatism</t>
  </si>
  <si>
    <t xml:space="preserve">85–87, 123–125</t>
  </si>
  <si>
    <t xml:space="preserve">18. Monitoring</t>
  </si>
  <si>
    <t xml:space="preserve">Ongoing performance monitoring</t>
  </si>
  <si>
    <t xml:space="preserve">An APRA-regulated entity must monitor the performance of each model against defined metrics and thresholds at a frequency proportionate to its tier, and must investigate, escalate and act upon threshold breaches, deterioration, drift and unexplained changes in behaviour.</t>
  </si>
  <si>
    <t xml:space="preserve">Ongoing monitoring is one of the three core validation elements and is universal.</t>
  </si>
  <si>
    <t xml:space="preserve">US interagency guidance 2026 §V (ongoing model monitoring); PRA SS1/23 Principle 3; OSFI E-23 monitoring</t>
  </si>
  <si>
    <t xml:space="preserve">88–90</t>
  </si>
  <si>
    <t xml:space="preserve">Limitations, compensating controls and remediation</t>
  </si>
  <si>
    <t xml:space="preserve">An APRA-regulated entity must record known model limitations and deficiencies, apply compensating controls where a limitation is material and not immediately resolvable, track remediation to completion against owners and dates, and escalate overdue or unresolved material findings. On identifying a material model error or failure, the entity must determine its cause, assess whether the same weakness affects other models, and assess and address the effect on decisions, figures, balances and amounts attributable to customers or beneficiaries that the model has already produced.</t>
  </si>
  <si>
    <t xml:space="preserve">Model risk mitigants including restrictions, adjustments and remediation are the subject of a named PRA principle.</t>
  </si>
  <si>
    <t xml:space="preserve">PRA SS1/23 Principle 5 (model risk mitigants); OSFI E-23 issue management</t>
  </si>
  <si>
    <t xml:space="preserve">78, 91–92</t>
  </si>
  <si>
    <t xml:space="preserve">19. Retirement</t>
  </si>
  <si>
    <t xml:space="preserve">Restriction, suspension and decommissioning</t>
  </si>
  <si>
    <t xml:space="preserve">An APRA-regulated entity must be able to restrict, suspend, replace or decommission a model that is unfit for its purpose, and must manage decommissioning so that dependent processes, downstream models and outputs that remain in force are addressed and records are retained. Where a model in the entity's highest risk tier is material to a decision or figure, the entity must identify and periodically assess the alternative basis on which that decision or figure would be determined if the model were unavailable.</t>
  </si>
  <si>
    <t xml:space="preserve">OSFI-E23, PRA-SS1-23, APRA-CPS230, ECB-GIM</t>
  </si>
  <si>
    <t xml:space="preserve">Decommissioning is explicit in OSFI E-23; the continuity dimension links to CPS 230.</t>
  </si>
  <si>
    <t xml:space="preserve">OSFI E-23 decommissioning; CPS 230 critical operations and tolerance levels</t>
  </si>
  <si>
    <t xml:space="preserve">93–94</t>
  </si>
  <si>
    <t xml:space="preserve">M32</t>
  </si>
  <si>
    <t xml:space="preserve">Part H — Third-party and AI models</t>
  </si>
  <si>
    <t xml:space="preserve">20. Third-party models</t>
  </si>
  <si>
    <t xml:space="preserve">Vendor and externally developed models</t>
  </si>
  <si>
    <t xml:space="preserve">An APRA-regulated entity must apply this Prudential Standard to models supplied, hosted or operated by third parties, and must obtain information sufficient to understand the model's design, data, assumptions, limitations and performance. Where the entity cannot itself discharge an obligation in this Prudential Standard in relation to a third-party model, it must obtain equivalent assurance from the provider or implement compensating controls, and must record which obligations are met in that way.</t>
  </si>
  <si>
    <t xml:space="preserve">US-MRM-2026, OSFI-E23, BCBS-TPRM, APRA-CPS230, PRA-SS1-23</t>
  </si>
  <si>
    <t xml:space="preserve">Vendor models are expressly within scope of the US, Canadian and UK regimes.</t>
  </si>
  <si>
    <t xml:space="preserve">US interagency guidance 2026 §VII (vendor and other third-party products); OSFI E-23 third-party models; BCBS third-party principles</t>
  </si>
  <si>
    <t xml:space="preserve">15, 75, 95–97</t>
  </si>
  <si>
    <t xml:space="preserve">Information rights, concentration and substitutability</t>
  </si>
  <si>
    <t xml:space="preserve">An APRA-regulated entity must maintain contractual and governance arrangements giving it timely access to the information and assurance it needs to meet its obligations in relation to a material third-party model, and must identify and manage concentration and substitutability risk in its own reliance on models, data sources, platforms and providers, including where that reliance is shared with other entities. Where an arrangement is already on foot at the commencement of this Prudential Standard, this paragraph applies from the earlier of the next renewal or material variation of that arrangement and the end of the transition period determined by APRA.</t>
  </si>
  <si>
    <t xml:space="preserve">APRA-CPS230, BCBS-TPRM, FSB-AI-2024, OSFI-E23</t>
  </si>
  <si>
    <t xml:space="preserve">Third-party risk principles and financial-stability analysis both identify concentration in externally supplied models as a distinct risk.</t>
  </si>
  <si>
    <t xml:space="preserve">CPS 230 service provider management; BCBS third-party principles; FSB concentration analysis</t>
  </si>
  <si>
    <t xml:space="preserve">98–100</t>
  </si>
  <si>
    <t xml:space="preserve">M34</t>
  </si>
  <si>
    <t xml:space="preserve">21. AI and machine learning models</t>
  </si>
  <si>
    <t xml:space="preserve">Additional controls for AI and machine learning models</t>
  </si>
  <si>
    <t xml:space="preserve">Where a model uses artificial intelligence or machine learning techniques, an APRA-regulated entity must address the additional risks arising from those techniques, including limited explainability, sensitivity to data drift, instability under retraining, feature leakage, systematic differences in model performance across segments of the population to which the model is applied, and dependence on externally supplied models whose construction the entity cannot inspect.</t>
  </si>
  <si>
    <t xml:space="preserve">OSFI-E23, MAS-AIMRM-2024, BCBS-DIGI, PRA-SS1-23, FSB-AI-2024</t>
  </si>
  <si>
    <t xml:space="preserve">OSFI expressly extends model risk management to AI/ML and MAS has published detailed observed practice for AI model risk management.</t>
  </si>
  <si>
    <t xml:space="preserve">OSFI E-23 AI/ML considerations; MAS AI model risk management observations; BCBS digitalisation report</t>
  </si>
  <si>
    <t xml:space="preserve">62, 101–106</t>
  </si>
  <si>
    <t xml:space="preserve">M35</t>
  </si>
  <si>
    <t xml:space="preserve">Boundary with the AI risk management framework</t>
  </si>
  <si>
    <t xml:space="preserve">An APRA-regulated entity must apply this Prudential Standard to any artificial intelligence system that meets the definition of a model, must apply its artificial intelligence risk management arrangements to the wider risks of that system, and must ensure that no material AI system falls between the two.</t>
  </si>
  <si>
    <t xml:space="preserve">OSFI-E23, MAS-AIMRM-2024, FSB-AI-2024</t>
  </si>
  <si>
    <t xml:space="preserve">Policy choice</t>
  </si>
  <si>
    <t xml:space="preserve">No comparator operates parallel model risk and AI risk instruments, so the boundary rule is an APRA drafting choice required by the proposed two-instrument architecture.</t>
  </si>
  <si>
    <t xml:space="preserve">OSFI E-23 single framework for models including AI</t>
  </si>
  <si>
    <t xml:space="preserve">107–109</t>
  </si>
  <si>
    <t xml:space="preserve">Part I — Specialist model classes</t>
  </si>
  <si>
    <t xml:space="preserve">22. Regulatory capital models</t>
  </si>
  <si>
    <t xml:space="preserve">Models used to determine regulatory capital</t>
  </si>
  <si>
    <t xml:space="preserve">An APRA-regulated entity that uses a model to determine a regulatory capital requirement must satisfy the requirements of the applicable prudential standard for that model in addition to this Prudential Standard, must not change an approved model without APRA's approval where the applicable prudential standard requires that approval, and must ensure the model is used in the entity's internal risk management to the extent the applicable prudential standard so requires.</t>
  </si>
  <si>
    <t xml:space="preserve">Regulatory capital models are subject to a distinct approval regime in Australia, the EU and the UK which this Prudential Standard must sit alongside rather than duplicate.</t>
  </si>
  <si>
    <t xml:space="preserve">ECB Guide to internal models; CRR internal model requirements; APS 113 model requirements</t>
  </si>
  <si>
    <t xml:space="preserve">110–111</t>
  </si>
  <si>
    <t xml:space="preserve">23. Valuation and financial reporting models</t>
  </si>
  <si>
    <t xml:space="preserve">An APRA-regulated entity must apply this Prudential Standard to models used to value assets and liabilities and to produce financial and regulatory reporting, and must ensure independent price verification and independent review of material valuation inputs and assumptions.</t>
  </si>
  <si>
    <t xml:space="preserve">BCBS-FVP, ECB-GIM, APRA-CPS220, US-MRM-2026</t>
  </si>
  <si>
    <t xml:space="preserve">Valuation model governance and independent price verification are established supervisory expectations.</t>
  </si>
  <si>
    <t xml:space="preserve">BCBS supervisory guidance on fair value practices; ECB internal models market risk</t>
  </si>
  <si>
    <t xml:space="preserve">112–113</t>
  </si>
  <si>
    <t xml:space="preserve">23A. Expected credit loss and provisioning models</t>
  </si>
  <si>
    <t xml:space="preserve">An APRA-regulated entity must apply this Prudential Standard to models used to assess and measure expected credit losses and to determine provisions, and must govern the judgement-based adjustments, overlays and post-model adjustments applied to modelled expected credit losses, and the assumptions and scenarios on which those models depend, with the same discipline as the models themselves.</t>
  </si>
  <si>
    <t xml:space="preserve">APRA-APS220, APRA-APG220, BCBS-ECL-2015, APRA-PROV-2023, AASB-9</t>
  </si>
  <si>
    <t xml:space="preserve">APS 220 transposes BCBS d350 Principle 5 into binding Australian form in near-identical language, and APG 220 expressly directs ADIs to have regard to the Basel guidance. The obligation to validate expected credit loss models therefore already exists; what is missing is the model risk framework that gives it content. This paragraph connects the two.</t>
  </si>
  <si>
    <t xml:space="preserve">BCBS d350 Principle 5 (ECL model validation), read with Principles 2, 4, 6 and 7; APS 220, Credit risk and accounting for expected credit losses; APG 220, which directs ADIs to have regard to the Basel guidance</t>
  </si>
  <si>
    <t xml:space="preserve">120–131</t>
  </si>
  <si>
    <t xml:space="preserve">24. Actuarial and insurance models</t>
  </si>
  <si>
    <t xml:space="preserve">Actuarial, reserving and insurance liability models</t>
  </si>
  <si>
    <t xml:space="preserve">An APRA-regulated insurer, including a private health insurer, must apply this Prudential Standard to models used to determine insurance liabilities, including deferred claims liabilities and, for a private health insurer, amounts arising under the risk equalisation arrangements, and to models used to determine premiums, reinsurance recoveries and capital, and must ensure that the role of the Appointed Actuary and this Prudential Standard's validation requirements operate together without gaps in independent review. Independent review performed under CPS 320 and the sectoral actuarial standards may satisfy the independent validation requirement for an actuarial model to the extent the reviewer was not responsible for developing the model or setting its assumptions, and the insurer must identify and separately address any element not so covered.</t>
  </si>
  <si>
    <t xml:space="preserve">APRA-CPS320, APRA-HPS110, OSFI-E23</t>
  </si>
  <si>
    <t xml:space="preserve">OSFI's expansion of E-23 to insurers establishes the precedent; the interaction with the Australian Appointed Actuary framework is an Australian drafting question.</t>
  </si>
  <si>
    <t xml:space="preserve">APRA Appointed Actuary framework; OSFI E-23 application to insurers</t>
  </si>
  <si>
    <t xml:space="preserve">114–115</t>
  </si>
  <si>
    <t xml:space="preserve">25. Superannuation models</t>
  </si>
  <si>
    <t xml:space="preserve">Models used by RSE licensees</t>
  </si>
  <si>
    <t xml:space="preserve">An RSE licensee must apply this Prudential Standard to models used in investment strategy, asset valuation, liquidity management, insurance in superannuation, fee and cost determination, unit pricing and member outcomes assessment.</t>
  </si>
  <si>
    <t xml:space="preserve">APRA-SPS220, APRA-SPS530, APRA-SPS515</t>
  </si>
  <si>
    <t xml:space="preserve">Inferred</t>
  </si>
  <si>
    <t xml:space="preserve">No comparator addresses superannuation model risk; cross-industry application to RSE licensees requires the standard to name the model classes that matter in that sector.</t>
  </si>
  <si>
    <t xml:space="preserve">SPS 530 investment governance; SPS 515 business performance review</t>
  </si>
  <si>
    <t xml:space="preserve">116–117</t>
  </si>
  <si>
    <t xml:space="preserve">26. Stress testing and scenario models</t>
  </si>
  <si>
    <t xml:space="preserve">Stress testing, scenario and capital planning models</t>
  </si>
  <si>
    <t xml:space="preserve">An APRA-regulated entity must apply this Prudential Standard to models used for stress testing, scenario analysis and capital planning, and must ensure that the limitations of those models are made explicit to those relying on their results.</t>
  </si>
  <si>
    <t xml:space="preserve">BCBS-STRESS, PRA-SS1-23, ECB-GIM, APRA-CPS220</t>
  </si>
  <si>
    <t xml:space="preserve">The BCBS stress testing principles establish governance expectations for these models.</t>
  </si>
  <si>
    <t xml:space="preserve">BCBS stress testing principles; PRA SS1/23 application to stress testing models</t>
  </si>
  <si>
    <t xml:space="preserve">118–119, 126–127</t>
  </si>
  <si>
    <t xml:space="preserve">Part J — Aggregate risk, records and assurance</t>
  </si>
  <si>
    <t xml:space="preserve">27. Aggregate model risk</t>
  </si>
  <si>
    <t xml:space="preserve">Aggregate assessment of model risk</t>
  </si>
  <si>
    <t xml:space="preserve">An APRA-regulated entity must assess model risk in aggregate across its model portfolio, must consider the effect of that aggregate risk in its internal capital adequacy assessment or, for an RSE licensee, in the assessment of operational risk that informs the operational risk financial requirement target amount determined under SPS 114, and must be able to explain the basis and limitations of the assessment.</t>
  </si>
  <si>
    <t xml:space="preserve">PRA-SS1-23, ECB-GIM, US-MRM-2026, APRA-CPS220, APRA-SPS114</t>
  </si>
  <si>
    <t xml:space="preserve">The 2026 US guidance expressly calls for model risk to be assessed individually and in aggregate, reflecting interactions, dependencies and reliance on common assumptions, data or methodologies. The PRA addresses board understanding of aggregate model risk; the ECB addresses it through supervisory review.</t>
  </si>
  <si>
    <t xml:space="preserve">PRA SS1/23 Principle 2.1 (board understanding and reporting of model risk in aggregate); ECB model risk in the supervisory review process</t>
  </si>
  <si>
    <t xml:space="preserve">47, 135–137</t>
  </si>
  <si>
    <t xml:space="preserve">28. Records</t>
  </si>
  <si>
    <t xml:space="preserve">An APRA-regulated entity must retain records sufficient to reconstruct, for a material model, what it produced, on what data and version, on what basis it was approved, how it performed, what limitations applied and what adjustments were made.</t>
  </si>
  <si>
    <t xml:space="preserve">US-MRM-2026, ECB-GIM, OSFI-E23, APRA-CPS220</t>
  </si>
  <si>
    <t xml:space="preserve">Record-keeping is explicit across comparators; the reconstruction standard is a drafting choice.</t>
  </si>
  <si>
    <t xml:space="preserve">US interagency guidance 2026 §VI documentation and records; ECB documentation</t>
  </si>
  <si>
    <t xml:space="preserve">138–139</t>
  </si>
  <si>
    <t xml:space="preserve">29. Assurance</t>
  </si>
  <si>
    <t xml:space="preserve">Internal audit and independent assurance</t>
  </si>
  <si>
    <t xml:space="preserve">An APRA-regulated entity must ensure that internal audit, or another independent function with equivalent standing, periodically assesses the design and operating effectiveness of the model risk management framework, including the effectiveness of validation and of challenge, and reports the results to the Board Audit Committee.</t>
  </si>
  <si>
    <t xml:space="preserve">Internal audit coverage of the model risk framework is explicit in the US and ECB regimes.</t>
  </si>
  <si>
    <t xml:space="preserve">US interagency guidance 2026 §VI internal audit; ECB internal audit of internal models</t>
  </si>
  <si>
    <t xml:space="preserve">74, 140–141</t>
  </si>
  <si>
    <t xml:space="preserve">30. APRA engagement</t>
  </si>
  <si>
    <t xml:space="preserve">Notification and provision of information to APRA</t>
  </si>
  <si>
    <t xml:space="preserve">An APRA-regulated entity must notify APRA as soon as practicable, and within the timeframe applicable under CPS 230 or CPS 234 where the event also falls within those standards, of a model failure or model risk event that has, or is likely to have, a material impact on its financial position, on amounts credited to or debited from the accounts of its customers or beneficiaries, on its regulatory reporting or on its ability to meet its prudential obligations, and must provide APRA with information relating to its models and model risk management where APRA requires it in writing. Where APRA requires an entity, under another prudential standard, to appoint an auditor or independent party to review and report to APRA on a matter that includes its models or its model risk management, the entity must support that review and must provide the reviewer with access to the models, data, documentation, systems and personnel reasonably required for the matters APRA has specified.</t>
  </si>
  <si>
    <t xml:space="preserve">APRA-CPS230, APRA-CPS234, APRA-CPS220, APRA-APS220, APRA-APS310, APRA-GPS310, APRA-LPS310, APRA-HPS310, APRA-SPS310, OSFI-E23</t>
  </si>
  <si>
    <t xml:space="preserve">Extracted + inferred; legal drafting required</t>
  </si>
  <si>
    <t xml:space="preserve">Deliberately cross-references existing notification architecture rather than proposing a separate model risk deadline that would conflict with it.</t>
  </si>
  <si>
    <t xml:space="preserve">CPS 230 incident notification; OSFI E-23 supervisory engagement</t>
  </si>
  <si>
    <t xml:space="preserve">130–134, 142–143</t>
  </si>
  <si>
    <t xml:space="preserve">Requirement-by-authority challenge</t>
  </si>
  <si>
    <t xml:space="preserve">POLICY DEVELOPMENT DRAFT — NOT IN FORCE | 'Strong support' means the authority's material supports the requirement's substance. It does not mean the requirement is binding anywhere.</t>
  </si>
  <si>
    <t xml:space="preserve">Requirement</t>
  </si>
  <si>
    <t xml:space="preserve">OCC/Fed</t>
  </si>
  <si>
    <t xml:space="preserve">Overall test result</t>
  </si>
  <si>
    <t xml:space="preserve">Verification sources</t>
  </si>
  <si>
    <t xml:space="preserve">Strong support</t>
  </si>
  <si>
    <t xml:space="preserve">Not addressed</t>
  </si>
  <si>
    <t xml:space="preserve">Pass — supported and status-qualified</t>
  </si>
  <si>
    <t xml:space="preserve">Diverges</t>
  </si>
  <si>
    <t xml:space="preserve">US-MRM-2026, PRA-SS1-23, OSFI-E23  |  OCC/Fed: The April 2026 guidance narrows the definition to complex methods and excludes spreadsheet arithmetic, deterministic rules and generative and agentic AI. CPS XXXX does not follow.</t>
  </si>
  <si>
    <t xml:space="preserve">PRA-SS1-23, OSFI-E23  |  OCC/Fed: Expressly excludes such tools from the model definition and states no control obligation for them.</t>
  </si>
  <si>
    <t xml:space="preserve">Pass as policy proposal — consult and cost-benefit test</t>
  </si>
  <si>
    <t xml:space="preserve">Conditional pass — legal drafting required</t>
  </si>
  <si>
    <t xml:space="preserve">Moderate support</t>
  </si>
  <si>
    <t xml:space="preserve">PRA-SS1-23, US-MRM-2026, OSFI-E23, ECB-GIM, MAS-AIMRM-2024  |  OCC/Fed: Describes a comprehensive inventory as common industry practice rather than stating it as an expectation.</t>
  </si>
  <si>
    <t xml:space="preserve">US-MRM-2026, PRA-SS1-23, ECB-GIM, OSFI-E23  |  OCC/Fed: Reduced in 2026 to a statement that adequate documentation helps support model risk management.</t>
  </si>
  <si>
    <t xml:space="preserve">US-MRM-2026, PRA-SS1-23, OSFI-E23, ECB-GIM, MAS-AIMRM-2024  |  OCC/Fed: Validation generally precedes first use, but use before validation is permitted for urgent business need with compensating controls.</t>
  </si>
  <si>
    <t xml:space="preserve">US-MRM-2026, PRA-SS1-23, OSFI-E23, ECB-GIM, MAS-NOTICE637  |  OCC/Fed: Retains validation but states its quality depends on the rigour of review rather than organisational structure, a softening from the rescinded 2011 text.</t>
  </si>
  <si>
    <t xml:space="preserve">OSFI-E23, PRA-SS1-23, APRA-CPS230, ECB-GIM  |  OSFI: Principle 3.6 expressly covers model decommission — the only comparator that does.</t>
  </si>
  <si>
    <t xml:space="preserve">OSFI-E23, MAS-AIMRM-2024, BCBS-DIGI, PRA-SS1-23, FSB-AI-2024  |  OCC/Fed: Generative and agentic AI are expressly outside scope; non-generative AI models are in scope.</t>
  </si>
  <si>
    <t xml:space="preserve">OSFI-E23, MAS-AIMRM-2024, FSB-AI-2024  |  OCC/Fed: No parallel AI instrument, so no boundary rule arises.  OSFI: Single framework covering models including AI removes the boundary problem entirely — the alternative architecture to the one proposed.</t>
  </si>
  <si>
    <t xml:space="preserve">APRA-SPS220, APRA-SPS530, APRA-SPS515  |  OSFI: Superannuation is outside OSFI's perimeter; federally regulated pension plans are expressly excluded from E-23.</t>
  </si>
  <si>
    <t xml:space="preserve">PRA-SS1-23, ECB-GIM, US-MRM-2026, APRA-CPS220, APRA-SPS114  |  OCC/Fed: Expressly requires assessment of model risk individually and in aggregate, reflecting interactions and common dependencies.</t>
  </si>
  <si>
    <t xml:space="preserve">Guidance-to-requirement traceability</t>
  </si>
  <si>
    <t xml:space="preserve">POLICY DEVELOPMENT DRAFT — NOT IN FORCE | Every numbered paragraph of the draft practice guide, and the requirement it supports.</t>
  </si>
  <si>
    <t xml:space="preserve">CPG XXXX paragraph</t>
  </si>
  <si>
    <t xml:space="preserve">Chapter</t>
  </si>
  <si>
    <t xml:space="preserve">Guidance text</t>
  </si>
  <si>
    <t xml:space="preserve">Supports CPS XXXX</t>
  </si>
  <si>
    <t xml:space="preserve">Source attribution</t>
  </si>
  <si>
    <t xml:space="preserve">Verification note</t>
  </si>
  <si>
    <t xml:space="preserve">Introduction</t>
  </si>
  <si>
    <t xml:space="preserve">This guide is structured to follow CPS XXXX. Each chapter opens with the requirements it supports, so that a reader working from the standard can find the corresponding guidance, and a reader working from the guidance can identify the obligation it explains.</t>
  </si>
  <si>
    <t xml:space="preserve">—</t>
  </si>
  <si>
    <t xml:space="preserve">Guidance in this guide is drawn from Australian prudential requirements and from the model risk frameworks of comparable authorities. International sources are labelled by legal status: [B] binding in its home jurisdiction, [SE] supervisory expectation, [G] guidance, [PB] proposed or consultative, and [A] analytical or advisory. An overseas instrument is not binding in Australia whatever its status at home, and is used here only to inform expectations under CPS XXXX.</t>
  </si>
  <si>
    <t xml:space="preserve">Status classification follows Annex D of this guide and the source register in the accompanying assessment workbook.</t>
  </si>
  <si>
    <t xml:space="preserve">APRA expects this guide to be applied proportionately. An entity with a small number of vendor models and one with several hundred internally developed models across banking, insurance and superannuation businesses face the same obligations but will meet them very differently.</t>
  </si>
  <si>
    <t xml:space="preserve">This guide does not create obligations, does not vary CPS XXXX, and does not limit APRA's discretion in supervising an entity. Where this guide and CPS XXXX appear to differ, CPS XXXX prevails.</t>
  </si>
  <si>
    <t xml:space="preserve">Regulated entities have increased their reliance on models faster than they have increased their capacity to govern them. Models now determine capital, provisions, valuations, insurance liabilities, unit prices, credit decisions, fraud interventions and member outcomes. The consequence of a model being wrong has grown with the consequence of the decisions it drives.</t>
  </si>
  <si>
    <t xml:space="preserve">Model risk has historically been managed inside the frameworks for the risks the models measure — credit models under credit risk, valuation models under market risk — with the result that no one is accountable for the risk that the measurement itself is wrong. Comparable authorities have moved model risk into its own discipline for this reason.</t>
  </si>
  <si>
    <t xml:space="preserve">Source: PRA SS1/23 [SE]. OSFI Guideline E-23 (2027) [SE]. US interagency guidance on model risk management, SR 26-2 / OCC 2026-13 / FDIC FIL-15-2026 [SE].</t>
  </si>
  <si>
    <t xml:space="preserve">The most consequential failures observed internationally have rarely been mathematical. They have been failures of scope, where a model was not known to exist; of use, where a sound model was applied to a purpose it was not built for; of implementation, where the deployed model differed from the approved one; and of challenge, where a weakness was identified and not acted upon.</t>
  </si>
  <si>
    <t xml:space="preserve">Scope — what is a model</t>
  </si>
  <si>
    <t xml:space="preserve">An entity should adopt a single enterprise definition of a model and apply it consistently. Fragmented definitions applied differently by business line produce inconsistent coverage and make aggregate model risk impossible to assess.</t>
  </si>
  <si>
    <t xml:space="preserve">It is useful to think of a model as having three parts: an information input component that delivers data and assumptions, a processing component that transforms inputs into estimates, and a reporting component that translates the estimates into information a business can use. Each part can fail independently, and a failure in the first or third is as consequential as a failure in the second.</t>
  </si>
  <si>
    <t xml:space="preserve">Source: PRA SS1/23 Principle 1.1 Model definition [SE]. OSFI Guideline E-23 (2027), key terms [SE]. The three-component description originated in the 2011 United States interagency guidance, which was rescinded on 17 April 2026; the description remains analytically useful and is retained here on that basis rather than as a current citation.</t>
  </si>
  <si>
    <t xml:space="preserve">Verification: the United States interagency guidance was revised on 17 April 2026 (SR 26-2, OCC Bulletin 2026-13, FDIC FIL-15-2026), rescinding the 2011 guidance. The 2026 definition is narrower — a 'complex' quantitative method applying statistical, economic or financial theories, expressly excluding simple arithmetic such as spreadsheet calculations and deterministic rule-based processes, and expressly excluding generative and agentic AI. CPS XXXX does not adopt that narrowing, for the reasons given in the standard. The divergence is deliberate.</t>
  </si>
  <si>
    <t xml:space="preserve">The definition is function-based. Whether the processing component is a linear regression, a deterministic actuarial projection, a decision tree, a gradient-boosted ensemble or a large language model does not change whether the tool is a model. Defining scope by technology creates a perimeter that moves every time the technology does.</t>
  </si>
  <si>
    <t xml:space="preserve">Quantitative estimates include forecasts, valuations, risk measures, scores, rankings, classifications and probabilities. A tool that produces a categorical output is a model where the classification rests on an estimate of an uncertain quantity — a score, a probability or a predicted class. A tool that reaches a categorical output by applying documented rules to its inputs, with no such estimate, falls outside the definition and is dealt with under M03.</t>
  </si>
  <si>
    <t xml:space="preserve">Entities should expect genuine borderline cases and should decide them on a documented basis. The practical question is whether uncertainty in the method could produce a materially wrong answer that a user would not detect. Where it could, the tool should generally be managed as a model.</t>
  </si>
  <si>
    <t xml:space="preserve">Tools that fall outside the definition but drive material decisions should still be controlled. Complex spreadsheets, rules engines, allocation keys, pricing calculators and end-user computing tools fail in the same ways models fail — stale assumptions, broken links, undocumented changes, key-person dependency — without the benefit of the model lifecycle.</t>
  </si>
  <si>
    <t xml:space="preserve">Source: PRA SS1/23 Principle 1.1, which expects firms to consider quantitative methods falling outside the model definition [SE].</t>
  </si>
  <si>
    <t xml:space="preserve">Verification: PRA SS1/23's five principles and 23 sub-principles were extracted verbatim from the primary supervisory statement. Principle 1 is 'Model identification and model risk classification' and Principle 5 is 'Model risk mitigants'. An earlier draft in this project described Principle 5 as 'reporting'; that was incorrect and has been corrected here.</t>
  </si>
  <si>
    <t xml:space="preserve">Controls for non-model quantitative tools need not replicate the model lifecycle. Identified ownership, version control, access restriction, documented logic, change control and periodic verification that the tool still performs as intended will usually be proportionate.</t>
  </si>
  <si>
    <t xml:space="preserve">A model is within scope because the entity relies on its output, not because the entity wrote it. Vendor models, models embedded in core banking, actuarial or treasury platforms, models inherited through acquisition, models operated by a service provider and models supplied by a parent or affiliate are all within scope.</t>
  </si>
  <si>
    <t xml:space="preserve">M01, M32</t>
  </si>
  <si>
    <t xml:space="preserve">Entities should be alert to models that arrive without a procurement decision — a feature enabled in an existing platform, an analytics capability switched on by a provider, or a tool adopted by a business team. These are the models least likely to appear in the inventory and least likely to have been assessed.</t>
  </si>
  <si>
    <t xml:space="preserve">Proportionality and model risk tiering</t>
  </si>
  <si>
    <t xml:space="preserve">Tiering is the mechanism by which proportionality is made operational. It converts a general statement that controls should reflect risk into a specific determination of how much development evidence, validation depth, monitoring frequency, approval seniority and reporting each model attracts.</t>
  </si>
  <si>
    <t xml:space="preserve">M04, M15</t>
  </si>
  <si>
    <t xml:space="preserve">Source: PRA SS1/23 Principle 1.3 Model tiering [SE]. OSFI Guideline E-23 (2027) Principle 2.2, on establishing a model risk rating approach that assesses key dimensions of model risk [SE].</t>
  </si>
  <si>
    <t xml:space="preserve">A tiering methodology should combine quantitative and qualitative factors. Quantitative factors typically include the size of the exposure, balance, provision, capital number or customer population the model influences. Qualitative factors include complexity, transparency, data quality, degree of automation, reversibility of the consequence and the availability of an alternative.</t>
  </si>
  <si>
    <t xml:space="preserve">Materiality of use should dominate technical complexity. A simple deterministic calculation that sets a regulatory capital figure or a unit price warrants a higher tier than a sophisticated model used for internal management reporting. Tiering schemes anchored to methodological sophistication systematically under-govern the models that matter most.</t>
  </si>
  <si>
    <t xml:space="preserve">The number of tiers matters less than the difference between them. Three tiers applied with genuine differentiation are more useful than five tiers that attract broadly similar treatment. If the tiering scheme does not change what actually happens to a model, it is documentation rather than control.</t>
  </si>
  <si>
    <t xml:space="preserve">Entities should monitor the distribution of models across tiers over time. A population that migrates steadily downward, or in which very few models occupy the highest tier, warrants examination of whether the criteria are being applied as designed.</t>
  </si>
  <si>
    <t xml:space="preserve">CPS XXXX permits an entity to determine that a model is de minimis and to apply to it only the identification, inventory, ownership, classification and reassessment requirements. The determination turns on consequence: whether the entity could be materially wrong, or materially unfair to a customer or beneficiary, if the model were wrong and the error went undetected.</t>
  </si>
  <si>
    <t xml:space="preserve">It is not a determination about size, complexity, cost or how long a model has been in use. A simple model that has run without incident for a decade is not de minimis if an error in it would misstate a provision. Conversely a sophisticated model used to prioritise internal workflow may well be.</t>
  </si>
  <si>
    <t xml:space="preserve">Source: US interagency guidance 2026 §III, which states that where models are deemed immaterial, model risk management may consist of identifying those models and monitoring the conditions under which their use may become material [SE]. OSFI Guideline E-23 (2027) Principle 2.3, read with Principle 2.1 [SE]. PRA SS1/23 Principle 1.3 Model tiering [SE].</t>
  </si>
  <si>
    <t xml:space="preserve">A de minimis model stays in the inventory. That is the point on which the exception depends: an entity that has removed a model from the inventory cannot demonstrate that the determination was ever made, still less that it remains correct. Entities should treat the de minimis population as a reportable category rather than as an absence.</t>
  </si>
  <si>
    <t xml:space="preserve">M05, M14</t>
  </si>
  <si>
    <t xml:space="preserve">Certain models cannot be de minimis whatever the entity's assessment. These are models determining a regulatory capital requirement, a provision, a technical or insurance liability, a valuation reported in the financial statements, a unit price or another amount attributable to a customer or beneficiary, and models supporting a critical operation. The consequence of error in these classes is realised directly and is frequently irreversible.</t>
  </si>
  <si>
    <t xml:space="preserve">Two failure modes deserve specific attention. The first is aggregation: models that are individually immaterial can matter collectively, particularly where they feed the same process, share a data source or rest on a common assumption. The entity should examine the population, not only the individual determinations. The second is disaggregation: splitting a model so that each component falls below the threshold, which defeats the exception rather than satisfying it.</t>
  </si>
  <si>
    <t xml:space="preserve">A determination attaches to a use, not to a model in the abstract. Where a model that was de minimis for one purpose begins to be relied on for another, the determination should be revisited before the new use begins rather than at the next scheduled review.</t>
  </si>
  <si>
    <t xml:space="preserve">M05, M16</t>
  </si>
  <si>
    <t xml:space="preserve">Verification: the de minimis mechanism is drawn from the treatment of immaterial models in the 2026 United States interagency guidance and from OSFI Principles 2.1 and 2.3, which relieve low-risk models of the full lifecycle while keeping them within identification. The prohibited classes, the aggregate test and the anti-disaggregation limb are Australian drafting choices and are identified as a policy design choice in the assessment workbook.</t>
  </si>
  <si>
    <t xml:space="preserve">Reduced controls should be a decision rather than an omission. An exception should identify the provision of the entity's own policies or standards not being met, the reason, the compensating control, the approver, the expiry date and the review point. It cannot except the entity from a requirement of CPS XXXX: only APRA may do that, under paragraph A5.</t>
  </si>
  <si>
    <t xml:space="preserve">An exception register in which items have no expiry, or are routinely extended, indicates that the entity has adopted a lower standard rather than granted an exception. APRA supervisors may examine the age profile of exceptions as an indicator of framework effectiveness.</t>
  </si>
  <si>
    <t xml:space="preserve">Verification: proportionality is expressly provided for in the PRA, OSFI and US frameworks. The specific expectation that exceptions be time-bound with recorded compensating controls is drawn from APRA's existing risk management architecture rather than from a comparator instrument, and is identified in the assessment workbook as a policy design choice.</t>
  </si>
  <si>
    <t xml:space="preserve">Tiers should be reassessed on a defined cycle and on the occurrence of trigger events. Triggers should include material change to the model, its data, its purpose or its user base; significant growth in the exposure or population it covers; deterioration in performance; and changes the entity did not initiate, such as a vendor version release or a change in an upstream data definition.</t>
  </si>
  <si>
    <t xml:space="preserve">Reliance can grow without any change to the model. A model built for a small portfolio that is progressively applied to a larger one has become more material without being touched, and a reassessment cycle driven only by model change will not detect this.</t>
  </si>
  <si>
    <t xml:space="preserve">Governance and accountability</t>
  </si>
  <si>
    <t xml:space="preserve">The Board should understand what the entity relies on models to do, where that reliance is concentrated, what the consequences of failure would be, how failure would be detected, and what would happen next. It is not expected to understand model methodology.</t>
  </si>
  <si>
    <t xml:space="preserve">Source: PRA SS1/23 Principle 2 Governance, and Principle 2.1 Board of directors' responsibilities [SE]. OSFI Guideline E-23 (2027) Outcome 1 and Principle 1.1 [SE]. US interagency guidance 2026 §VI, governance and controls [SE]. CPS 220 Risk Management [B].</t>
  </si>
  <si>
    <t xml:space="preserve">Board reporting should support that understanding. Useful content includes the tiering profile and its movement, validation coverage and overdue validations against tier, unresolved high-severity findings and their age, material limitations accepted and the compensating controls relied on, the aggregate size and direction of overlays, model incidents, and concentration of reliance on individual providers or methods.</t>
  </si>
  <si>
    <t xml:space="preserve">Reporting should aggregate rather than enumerate. A schedule of individual model issues does not tell the Board whether model risk is rising or falling. Trend, concentration and coverage are more informative than counts.</t>
  </si>
  <si>
    <t xml:space="preserve">For a smaller entity, model risk reporting may sit within existing risk reporting rather than in a standalone pack, provided the Board receives the substance and can identify model risk as a distinct matter.</t>
  </si>
  <si>
    <t xml:space="preserve">A single senior executive should be accountable for the framework itself — its coverage, its consistency of application and its effectiveness. This is distinct from accountability for individual models, and exists so that framework-level failures have an owner.</t>
  </si>
  <si>
    <t xml:space="preserve">Source: PRA SS1/23 Principle 2.2, SMF accountability for the model risk management framework [SE]. OSFI Guideline E-23 (2027) Principle 1.1 [SE].</t>
  </si>
  <si>
    <t xml:space="preserve">The accountable executive should be positioned to require change. Accountability without the authority to direct remediation, or without independence from the businesses whose models are being governed, is unlikely to be effective.</t>
  </si>
  <si>
    <t xml:space="preserve">Verification: the PRA allocates model risk management framework accountability to a designated senior management function. The precise interaction with the Australian accountability regime requires legal settlement and is flagged in Annex F of CPS XXXX.</t>
  </si>
  <si>
    <t xml:space="preserve">Each model should have a named owner accountable for it being fit for its approved purpose, for its documentation being current, for its performance being monitored, for its limitations being communicated to users, and for the remediation of findings. Ownership recorded in the inventory but not exercised is not ownership.</t>
  </si>
  <si>
    <t xml:space="preserve">Where several businesses use the same model, the entity should distinguish ownership of the model from ownership of each use. The model can be sound while a particular use of it is not, and the two failures require different responses.</t>
  </si>
  <si>
    <t xml:space="preserve">Source: US interagency guidance 2026 §VI, roles and responsibilities [SE]. OSFI Guideline E-23 (2027) Principle 1.1 [SE]. ECB Guide to internal models, internal governance [SE].</t>
  </si>
  <si>
    <t xml:space="preserve">Validation should be performed by people who did not build the model and who do not report to those who did or to the business sponsoring its use. Where a standing independent validation function is not practicable, independence can still be achieved — by drawing on qualified people elsewhere in the entity or group who were not involved in development, by engaging an external provider, or by escalating the review to a forum that is independent of the sponsoring business.</t>
  </si>
  <si>
    <t xml:space="preserve">Independence is a matter of incentive as much as of reporting line. Where a validator's workload, progression or remuneration depends on models being approved, the control is compromised regardless of the organisational structure.</t>
  </si>
  <si>
    <t xml:space="preserve">Smaller entities may achieve independence by using qualified people from elsewhere in the entity or group who were not involved in development, or by engaging an external provider. An entity that outsources validation should retain enough capability to scope the work, understand the findings and challenge the conclusions.</t>
  </si>
  <si>
    <t xml:space="preserve">Source: US interagency guidance 2026 §V [SE]. PRA SS1/23 Principle 4.1 The independent validation function [SE]. ECB Guide to internal models, internal validation [SE].</t>
  </si>
  <si>
    <t xml:space="preserve">Framework, appetite and policy</t>
  </si>
  <si>
    <t xml:space="preserve">The framework should treat model risk as a risk in its own right. Treating it as a category of operational risk tends to produce incident-driven management after a failure rather than lifecycle management designed to prevent one.</t>
  </si>
  <si>
    <t xml:space="preserve">Source: PRA SS1/23 Principle 2 [SE]. OSFI Guideline E-23 (2027) Outcome 1, that model risk is well understood and managed across the enterprise [SE]. CPS 220 Risk Management [B].</t>
  </si>
  <si>
    <t xml:space="preserve">The framework should connect to, rather than duplicate, the entity's arrangements for data risk, information security, operational risk, change management, service provider management and internal audit. Where an entity operates a separate AI risk framework, the boundary between the two should be explicit.</t>
  </si>
  <si>
    <t xml:space="preserve">A model risk appetite should be capable of being breached. An appetite expressed only as a statement of intent cannot be monitored and therefore cannot constrain behaviour.</t>
  </si>
  <si>
    <t xml:space="preserve">Measurable expressions available to most entities include tolerance for the proportion of high-tier models with a current validation, the permitted number and age of unresolved high-severity findings, limits on the aggregate size of overlays relative to the modelled figure, and constraints on models operating outside approved conditions of use.</t>
  </si>
  <si>
    <t xml:space="preserve">Entities that cannot yet quantify aggregate model risk should say so, use coverage and qualitative measures in the interim, and set out how they intend to develop the capability. An appetite deferred until quantification is available is an appetite that does not exist.</t>
  </si>
  <si>
    <t xml:space="preserve">M11, M42</t>
  </si>
  <si>
    <t xml:space="preserve">Verification: a model risk appetite is expected by the PRA and OSFI. Requiring it to be expressed in monitorable terms is a drafting choice that makes the obligation supervisable, and is identified as a policy design choice in the assessment workbook.</t>
  </si>
  <si>
    <t xml:space="preserve">Policies and standards should be applied consistently across the entity. Where different businesses apply materially different development, documentation or validation standards to models of equivalent tier, the entity should be able to justify the difference on risk grounds rather than on history or convenience.</t>
  </si>
  <si>
    <t xml:space="preserve">Source: PRA SS1/23 Principle 2.3 Policies and procedures [SE]. OSFI Guideline E-23 (2027) Principle 3.1 [SE]. US interagency guidance 2026 §VI, governance and controls [SE].</t>
  </si>
  <si>
    <t xml:space="preserve">Policies should be reviewed at least annually and version-controlled, with the substance of changes recorded. A policy library in which the current version cannot be established, or in which superseded versions remain in circulation, undermines the framework it documents.</t>
  </si>
  <si>
    <t xml:space="preserve">Identification and inventory</t>
  </si>
  <si>
    <t xml:space="preserve">The inventory is the foundation of the framework. No requirement in CPS XXXX can be demonstrated for a model the entity does not know it has, and inventory completeness is therefore the first thing an entity should be able to evidence.</t>
  </si>
  <si>
    <t xml:space="preserve">Source: PRA SS1/23 Principle 1.2 Model inventory [SE]. OSFI Guideline E-23 (2027) Principle 2.1, on identifying and tracking all models in use or recently decommissioned [SE]. US interagency guidance 2026 §VI, model inventory [SE].</t>
  </si>
  <si>
    <t xml:space="preserve">Identification requires active discovery. Voluntary registration reliably under-reports, because the models least likely to be declared are those adopted without formal approval — precisely the population of greatest concern.</t>
  </si>
  <si>
    <t xml:space="preserve">Discovery mechanisms that entities have found effective include:</t>
  </si>
  <si>
    <t xml:space="preserve">The inventory should record decommissioned models where outputs they produced remain in force. A retired model that set a provision, a capital number, a customer price or an insurance liability that has not yet run off continues to carry model risk after the model itself has been switched off.</t>
  </si>
  <si>
    <t xml:space="preserve">Annex B of CPS XXXX sets out the minimum inventory fields. Entities should treat these as a floor. The inventory should be maintained as a controlled record with defined update responsibilities rather than as a periodically refreshed spreadsheet.</t>
  </si>
  <si>
    <t xml:space="preserve">Verification: inventory obligations were confirmed from the primary text of the PRA, OSFI and US instruments. OSFI's express inclusion of recently decommissioned models is extracted from Principle 2.1 of Guideline E-23 (2027).</t>
  </si>
  <si>
    <t xml:space="preserve">Development, data and documentation</t>
  </si>
  <si>
    <t xml:space="preserve">Conceptual soundness asks whether the chosen approach is appropriate for the intended purpose, given the data available and the conditions in which the model will operate. It is not answered by goodness of fit. A model that fits its development sample closely may be conceptually unsound if that sample is unrepresentative of the conditions of use.</t>
  </si>
  <si>
    <t xml:space="preserve">Source: US interagency guidance 2026 §IV, model development and model use [SE]. PRA SS1/23 Principle 3.1 Model purpose and design [SE]. OSFI Guideline E-23 (2027) Principle 3.3 [SE].</t>
  </si>
  <si>
    <t xml:space="preserve">Development should record the purpose the model is being built for, the design decisions taken, the theory or empirical basis for them, the variables considered and why they were retained or rejected, the assumptions on which the model depends, and the limitations that development did not resolve.</t>
  </si>
  <si>
    <t xml:space="preserve">Reasonable alternatives should be considered and the choice recorded. Where a more transparent method would have performed acceptably, the entity should be able to explain why a less transparent one was preferred. This is not a presumption against complex methods; it is a record that the trade-off was made deliberately.</t>
  </si>
  <si>
    <t xml:space="preserve">Development evidence should include the tests that were run and their results, including tests the model did not pass and how that was resolved. Documentation presenting only successful tests gives validation and approval an incomplete picture.</t>
  </si>
  <si>
    <t xml:space="preserve">Data should be assessed for appropriateness as well as accuracy. Accurate data drawn from a population, product, geography or period unlike the one in which the model will be used produces confident and wrong answers, and is a more common failure than poor data quality.</t>
  </si>
  <si>
    <t xml:space="preserve">Source: BCBS 239 Principles for effective risk data aggregation and risk reporting [G]. OSFI Guideline E-23 (2027) Principle 3.2, that data used to develop the model should be suitable for the intended use [SE]. CPG 235 Managing Data Risk [G]. ECB Guide on effective risk data aggregation and risk reporting [SE].</t>
  </si>
  <si>
    <t xml:space="preserve">Entities should document data lineage to source for material models, so that a change in an upstream system or definition can be traced to the models it affects. Lineage that stops at the data warehouse does not support that assessment.</t>
  </si>
  <si>
    <t xml:space="preserve">Where proxy or external data substitutes for insufficient internal data, the basis for considering the proxy suitable should be recorded and the sensitivity of the output to that choice should be tested. Proxies adopted at development frequently persist long after internal data has become available.</t>
  </si>
  <si>
    <t xml:space="preserve">Synthetic data used in development or testing should be identified as such, with its generation method documented and its representativeness assessed. Testing a model on synthetic data generated from the same assumptions used to build it does not test those assumptions.</t>
  </si>
  <si>
    <t xml:space="preserve">M18, M34</t>
  </si>
  <si>
    <t xml:space="preserve">The practical standard for documentation is reconstruction: a competent person who was not involved in the model's development should be able to pick up the documentation and reproduce its material results. Documentation that depends on the continued availability of the developer is a key-person dependency.</t>
  </si>
  <si>
    <t xml:space="preserve">Source: US interagency guidance 2026 §VI, documentation [SE]. PRA SS1/23 Principle 3.5 Model development documentation [SE]. ECB Guide to internal models, documentation [SE].</t>
  </si>
  <si>
    <t xml:space="preserve">Documentation should be maintained through the model's life. Documentation assembled in response to a validation cycle or a supervisory request describes the model as it is remembered rather than as it was built and changed.</t>
  </si>
  <si>
    <t xml:space="preserve">Testing, validation and approval</t>
  </si>
  <si>
    <t xml:space="preserve">Development testing and validation are different exercises with different purposes. Development testing establishes whether the model works as its developers intended. Validation forms an independent view of whether it is fit to be relied upon.</t>
  </si>
  <si>
    <t xml:space="preserve">Pre-implementation testing should cover performance under expected conditions and under stressed, boundary and unrepresentative conditions; sensitivity to key assumptions and inputs; stability over time and across segments; and behaviour at the edges of the population the model will encounter.</t>
  </si>
  <si>
    <t xml:space="preserve">Testing should use data sufficiently independent of the data used to fit the model. Out-of-sample and, where possible, out-of-time testing should be standard for higher-tier models.</t>
  </si>
  <si>
    <t xml:space="preserve">Source: US interagency guidance 2026 §IV, model testing [SE]. PRA SS1/23 Principle 3.3 Model development testing [SE].</t>
  </si>
  <si>
    <t xml:space="preserve">Validation should address three complementary components: conceptual soundness, including assessment of model design, key modelling choices, assumptions, data selection, construction and developmental evidence; outcomes analysis, comparing model outputs with corresponding real-world outcomes; and ongoing model monitoring, evaluating whether the model continues to perform as expected as products, exposures, activities, clients, data relevance or market conditions change.</t>
  </si>
  <si>
    <t xml:space="preserve">Source: US interagency guidance 2026 §V, components of model validation [SE]. PRA SS1/23 Principle 4.2 Independent review, 4.3 Process verification and 4.4 Model performance monitoring [SE]. OSFI Guideline E-23 (2027) Principle 3.4 [SE].</t>
  </si>
  <si>
    <t xml:space="preserve">No component is sufficient alone. Conceptual soundness cannot detect deterioration after implementation. Outcomes analysis can detect deterioration but not explain it. Verification that the model was built and deployed as documented says nothing about whether the design was appropriate in the first place.</t>
  </si>
  <si>
    <t xml:space="preserve">Validation should test implementation as well as design — that the model as coded and running in production is the model as documented and approved. Differences in data definitions, rounding, treatment of missing values, library versions or execution order between environments can change results materially and are not detected by methodological review.</t>
  </si>
  <si>
    <t xml:space="preserve">M22, M25</t>
  </si>
  <si>
    <t xml:space="preserve">A validation report should reach an explicit conclusion on fitness for the intended use, with any conditions or limitations stated. A report that records observations without a conclusion leaves the approval decision without the input it was designed to receive.</t>
  </si>
  <si>
    <t xml:space="preserve">Verification: the three components of validation are extracted from the current US interagency guidance, which is supervisory guidance rather than a regulation and is non-enforceable by its own terms. No fixed validation frequency is stated in this guide: the rescinded 2011 US guidance contained an at-least-annual periodic review expectation which the April 2026 guidance does not carry forward, and OCC Bulletin 2025-26 confirms that community banks are not required to validate annually. Setting cycle lengths is left to the entity, by tier.</t>
  </si>
  <si>
    <t xml:space="preserve">Effective challenge is critical and objective analysis by people with three attributes together: the expertise to identify model limitations, sufficient independence to maintain objectivity, and the organisational standing and influence to bring about change. Removing any one defeats the control while leaving its documentation intact. Entities should also attend to incentives, since a challenger rewarded for clearing models will not challenge for long.</t>
  </si>
  <si>
    <t xml:space="preserve">Source: US interagency guidance 2026 §III, effective challenge [SE]. PRA SS1/23 Principle 4 Independent model validation [SE].</t>
  </si>
  <si>
    <t xml:space="preserve">Indicators that challenge is not effective include findings consistently closed by explanation rather than by change, findings downgraded in severity without new evidence, validation conclusions that soften late in the approval process, and validation functions whose resourcing is set by the businesses whose models they review.</t>
  </si>
  <si>
    <t xml:space="preserve">Entities should periodically assess whether challenge is working, rather than assuming it from the existence of a validation function. Analysis of finding closure routes, severity migration and elapsed time to remediation is more informative than validation completion rates.</t>
  </si>
  <si>
    <t xml:space="preserve">M23, M44</t>
  </si>
  <si>
    <t xml:space="preserve">Vendor validation reports, certifications and third-party audit opinions may inform the entity's validation. They do not discharge it, because they are not designed around the entity's data, portfolio, controls or intended use. An entity relying on them should record what they cover and what remains for the entity to test.</t>
  </si>
  <si>
    <t xml:space="preserve">M21, M32</t>
  </si>
  <si>
    <t xml:space="preserve">Approval should be of a specific model version for a specific purpose under specific conditions. Approval expressed in general terms leaves no basis on which to determine later whether the model is being used as approved.</t>
  </si>
  <si>
    <t xml:space="preserve">The approval record should identify the approved version, the permitted uses and users, any limits on application, the monitoring thresholds that apply, the limitations accepted and the compensating controls relied upon, and the date by which the model must be reviewed.</t>
  </si>
  <si>
    <t xml:space="preserve">Source: OSFI Guideline E-23 (2027), model approval within the model lifecycle [SE]. ECB Guide to internal models [SE].</t>
  </si>
  <si>
    <t xml:space="preserve">Approval despite unresolved high-severity findings should be exceptional, time-bound, supported by compensating controls and escalated to the forum that set the model risk appetite.</t>
  </si>
  <si>
    <t xml:space="preserve">M24, M30</t>
  </si>
  <si>
    <t xml:space="preserve">Implementation, use and change</t>
  </si>
  <si>
    <t xml:space="preserve">Implementation is an under-appreciated source of model failure. Validation focused on methodology will not detect that the production model differs from the approved one, and such differences arise routinely from environment, data pipeline and configuration differences rather than from deliberate change.</t>
  </si>
  <si>
    <t xml:space="preserve">Entities should verify, before a model is relied upon in production, that it reproduces the approved model's results on a controlled set of cases, and should repeat that verification after material infrastructure or data pipeline change.</t>
  </si>
  <si>
    <t xml:space="preserve">Source: Former SR 11-7 §IV, implementation — not carried forward as a separate heading in the 2026 guidance [SE]. OSFI Guideline E-23 (2027) Principle 3.5, that models should be deployed in an environment with quality and change control processes [SE]. PRA SS1/23 Principle 3.6 Supporting systems [SE].</t>
  </si>
  <si>
    <t xml:space="preserve">Change assessment should consider the change both in isolation and cumulatively. A sequence of individually immaterial recalibrations can move a model materially away from the version that was validated, and change frameworks that assess only the increment will not detect this.</t>
  </si>
  <si>
    <t xml:space="preserve">Changes the entity did not initiate are still changes to its model risk profile. A vendor version release, a change in an upstream data definition, a change in the composition of a portfolio the model is applied to, or a change in the regulatory basis of a calculation should each enter the change assessment.</t>
  </si>
  <si>
    <t xml:space="preserve">Source: ECB Guide to internal models, management of model changes [SE]. OSFI Guideline E-23 (2027) Principle 3.5 [SE].</t>
  </si>
  <si>
    <t xml:space="preserve">Misuse of a sound model is one of the two recognised sources of model risk and is frequently the less well controlled. Common patterns include applying a model built to rank relative risk to set absolute prices, applying a model developed on one portfolio to another, and continuing to rely on a model in conditions it was known not to cover.</t>
  </si>
  <si>
    <t xml:space="preserve">Source: Former SR 11-7 §III, the two sources of model risk — the 2026 guidance retains the misuse limb [SE]. PRA SS1/23 Principle 3 [SE]. ECB Guide to internal models, use test [SE].</t>
  </si>
  <si>
    <t xml:space="preserve">Users should be given the model's limitations, not merely have access to them. Limitations recorded in a validation report that users do not read are not communicated. Entities should consider embedding limitations and conditions of use in the systems through which users receive model output.</t>
  </si>
  <si>
    <t xml:space="preserve">Adjustments to model output should be governed with the same discipline as the model. The basis, the quantification, the approver, the duration and the conditions for removal should each be recorded.</t>
  </si>
  <si>
    <t xml:space="preserve">Source: PRA SS1/23 Principle 5.1 Process for applying post-model adjustments [SE]. ECB Guide to internal models, margin of conservatism [SE].</t>
  </si>
  <si>
    <t xml:space="preserve">A persistent overlay in a consistent direction is evidence about the model rather than a correction to it. Where an entity has adjusted a model's output in the same direction for successive periods, the appropriate response is usually redevelopment rather than continued adjustment.</t>
  </si>
  <si>
    <t xml:space="preserve">Overlays should be reported in aggregate. Individually approved adjustments can collectively become the dominant driver of a reported figure without any single approval having considered that effect.</t>
  </si>
  <si>
    <t xml:space="preserve">M28, M13</t>
  </si>
  <si>
    <t xml:space="preserve">Verification: post-model adjustments are addressed expressly by PRA SS1/23 Principle 5.1, which defines them to include model overlays, management overlays and model overrides. The ECB addresses the same issue through the margin of conservatism framework for internal models.</t>
  </si>
  <si>
    <t xml:space="preserve">Monitoring, mitigants and retirement</t>
  </si>
  <si>
    <t xml:space="preserve">Monitoring should test whether the conditions that made the model valid continue to hold, not only whether its output has moved. A model can produce stable output while the relationships it depends on have broken down.</t>
  </si>
  <si>
    <t xml:space="preserve">Source: US interagency guidance 2026 §V, ongoing model monitoring [SE]. PRA SS1/23 Principle 4.4 Model performance monitoring [SE]. OSFI Guideline E-23 (2027) Principle 3.6 [SE].</t>
  </si>
  <si>
    <t xml:space="preserve">Thresholds should be set in advance and linked to a defined response — investigation, escalation, restriction of use, revalidation, overlay or withdrawal. A threshold that produces a note rather than an action is not a control.</t>
  </si>
  <si>
    <t xml:space="preserve">Monitoring should cover input data as well as output. Shifts in the distribution, completeness or definition of inputs frequently precede deterioration in output and provide earlier warning.</t>
  </si>
  <si>
    <t xml:space="preserve">Compensating controls should be specific to the limitation they address. A general statement that outputs are subject to management review does not compensate for a known bias in a particular segment, because it does not direct attention to that segment.</t>
  </si>
  <si>
    <t xml:space="preserve">Source: PRA SS1/23 Principle 5 Model risk mitigants, and Principle 5.2 Restrictions on model use [SE].</t>
  </si>
  <si>
    <t xml:space="preserve">Entities should monitor how findings are closed. A high proportion closed by rationale, deferral or reclassification rather than by change indicates that remediation is not functioning, even where closure rates appear satisfactory.</t>
  </si>
  <si>
    <t xml:space="preserve">An entity should know in advance what it would do if a material model became unusable — whether an alternative exists, how long it would take to bring into service, and what the interim basis for decisions would be. For models supporting a critical operation, this should be tested.</t>
  </si>
  <si>
    <t xml:space="preserve">Source: OSFI Guideline E-23 (2027) Principle 3.6, model decommission [SE]. CPS 230 Operational Risk Management [B].</t>
  </si>
  <si>
    <t xml:space="preserve">Decommissioning should address downstream models that consume the retired model's output, decisions and balances that remain in force, retained records, and the disposition of data. Retirement that switches off the model without addressing its residue leaves risk in place without an owner.</t>
  </si>
  <si>
    <t xml:space="preserve">Third-party models</t>
  </si>
  <si>
    <t xml:space="preserve">A third-party model is subject to the same framework as an internally developed one. The entity's ability to inspect it is lower, which increases rather than reduces the work required to gain assurance.</t>
  </si>
  <si>
    <t xml:space="preserve">Source: US interagency guidance 2026 §VII, vendor and other third-party products [SE]. PRA SS1/23 Principle 2.6 Use of externally developed models, third-party vendor products [SE]. OSFI Guideline E-23 (2027), third-party models [SE].</t>
  </si>
  <si>
    <t xml:space="preserve">Where a provider will not disclose methodology, the entity should intensify what it can do independently: benchmarking against an alternative, outcomes analysis on its own portfolio, sensitivity testing through controlled variation of inputs, and tighter conditions of use. Opacity should narrow the approved use, not widen the tolerance.</t>
  </si>
  <si>
    <t xml:space="preserve">An entity should not accept from a provider a level of opacity it would not accept from an internal development team for a model of the same tier.</t>
  </si>
  <si>
    <t xml:space="preserve">Information rights should be usable in practice. A contractual audit right the entity has neither the capability nor the intention to exercise provides little assurance. Rights to timely notice of material model change, to performance information and to incident notification are generally more valuable.</t>
  </si>
  <si>
    <t xml:space="preserve">Source: CPS 230 Operational Risk Management, service provider management [B]. BCBS Principles for the sound management of third-party risk [G].</t>
  </si>
  <si>
    <t xml:space="preserve">CPS XXXX does not require access to vendor source code or training data. It requires sufficient information, or sufficient compensating control, for the entity to form a view on fitness for its own use.</t>
  </si>
  <si>
    <t xml:space="preserve">Concentration should be assessed at entity level and, so far as observable, across the industry. Widespread reliance on the same external model, data source or platform can produce correlated error across firms even where each firm's own governance is sound, and this is a supervisory concern that no individual firm's controls address.</t>
  </si>
  <si>
    <t xml:space="preserve">Source: FSB, The Financial Stability Implications of Artificial Intelligence [A]. BCBS Principles for the sound management of third-party risk [G].</t>
  </si>
  <si>
    <t xml:space="preserve">Artificial intelligence and machine learning models</t>
  </si>
  <si>
    <t xml:space="preserve">An artificial intelligence or machine learning model is a model. Every requirement of CPS XXXX applies to it. This chapter addresses the respects in which those requirements are harder to satisfy, not a separate regime.</t>
  </si>
  <si>
    <t xml:space="preserve">Source: OSFI Guideline E-23 (2027), which expressly brings AI and machine learning models within model risk management [SE]. MAS, Artificial Intelligence Model Risk Management information paper [G]. BCBS, Digitalisation of finance [A].</t>
  </si>
  <si>
    <t xml:space="preserve">The characteristic difficulties are limited explainability, sensitivity to data drift, instability across retraining cycles, susceptibility to feature leakage, systematic differences in model performance across segments of the population to which the model is applied, and dependence on externally supplied models whose construction cannot be inspected.</t>
  </si>
  <si>
    <t xml:space="preserve">Explainability should be assessed against what the entity actually needs to do: satisfy itself the model is sound, monitor it, explain an outcome to a person affected by it, and meet applicable legal obligations. These require different depths of explanation and an absolute standard is neither achievable nor useful.</t>
  </si>
  <si>
    <t xml:space="preserve">Where explainability is limited, outcome-based controls should be intensified rather than relaxed. Suitable measures include comparison against a more transparent benchmark model, stability testing across retraining cycles, subgroup outcome analysis, monitoring of input distribution shift, and narrower conditions of use.</t>
  </si>
  <si>
    <t xml:space="preserve">Verification: an absolute explainability requirement was considered and rejected. Comparator authorities consistently frame explainability as fit-for-purpose and permit compensating controls where full explainability is not achievable. This is recorded in the red-team audit trail.</t>
  </si>
  <si>
    <t xml:space="preserve">Where a model retrains automatically, the entity should define the envelope within which retraining is authorised — the data it may use, the performance bounds it must remain within, and the parameters it may adjust — and should treat movement outside that envelope as a model change requiring assessment.</t>
  </si>
  <si>
    <t xml:space="preserve">M34, M26</t>
  </si>
  <si>
    <t xml:space="preserve">Retraining should be monitored for stability. A model whose behaviour changes materially between retraining cycles on similar data is exhibiting a form of instability that periodic validation will not detect.</t>
  </si>
  <si>
    <t xml:space="preserve">Where an entity operates a separate AI risk management framework, the two address different risks in the same system. CPS XXXX governs whether a quantitative output is fit to be relied upon. AI risk management governs the wider consequences of the system's operation, including security, autonomy, data handling, human oversight and resilience.</t>
  </si>
  <si>
    <t xml:space="preserve">A generative or agentic system that produces no quantitative estimate used in decision-making is generally not a model, but remains subject to the entity's AI risk arrangements. A generative system used to produce an estimate that drives a material decision falls within both.</t>
  </si>
  <si>
    <t xml:space="preserve">The entity should record, for each AI system, which framework or frameworks apply, so that the boundary is a documented determination that can be reviewed rather than an assumption that can leave a system ungoverned.</t>
  </si>
  <si>
    <t xml:space="preserve">Verification: no comparator authority operates parallel model risk and AI risk instruments; OSFI deliberately brought AI within a single model risk guideline. The boundary rule in CPS XXXX is therefore an Australian drafting choice arising from the proposed two-instrument architecture, and is identified as a policy design choice requiring consultation.</t>
  </si>
  <si>
    <t xml:space="preserve">Specialist model classes</t>
  </si>
  <si>
    <t xml:space="preserve">Models used to determine a regulatory capital requirement remain subject to the approval and change requirements of the applicable capital standard. CPS XXXX sits alongside those requirements and does not displace them; where the two overlap, the more specific requirement prevails.</t>
  </si>
  <si>
    <t xml:space="preserve">Source: APS 113 Capital Adequacy: Internal Ratings-based Approach to Credit Risk [B]. ECB Guide to internal models [SE], interpreting binding Capital Requirements Regulation provisions [B]. PRA SS1/23, which applies to firms with internal model approval [SE].</t>
  </si>
  <si>
    <t xml:space="preserve">The requirement that an approved capital model be used in internal risk management is substantive rather than formal. Where a model is maintained for regulatory reporting while the business is managed on a different basis, one of the two is not trusted, and the entity should be able to explain which and why.</t>
  </si>
  <si>
    <t xml:space="preserve">Valuation models concentrate model risk because the output is the reported number rather than an input to a decision a person subsequently makes. Level 3 valuations, illiquid exposures and modelled expected credit loss are the most sensitive to assumption choice and warrant the most independent scrutiny.</t>
  </si>
  <si>
    <t xml:space="preserve">Source: BCBS, Supervisory guidance for assessing banks' financial instrument fair value practices [G].</t>
  </si>
  <si>
    <t xml:space="preserve">Independent price verification is a distinct control from model validation. Both are expected for material valuation models, and an entity should not treat the presence of one as satisfying the other.</t>
  </si>
  <si>
    <t xml:space="preserve">For an insurer, the Appointed Actuary framework already provides a form of independent professional review that will discharge a substantial part of the validation expectation for many actuarial models. It does not automatically discharge all of it, particularly implementation verification and data quality assessment.</t>
  </si>
  <si>
    <t xml:space="preserve">Insurers should map which elements of CPS XXXX validation are met through the actuarial control cycle and which require separate work, rather than assuming complete overlap in either direction. The mapping should be documented and reviewed.</t>
  </si>
  <si>
    <t xml:space="preserve">Verification: OSFI's extension of Guideline E-23 (2027) to life and property and casualty insurers establishes the precedent for applying model risk management to insurance models. The specific interaction with the Australian Appointed Actuary framework is an Australian drafting question flagged for legal settlement.</t>
  </si>
  <si>
    <t xml:space="preserve">For an RSE licensee, unit pricing and asset valuation models directly determine amounts credited to member accounts. An error is realised as a transfer of value between members and is frequently difficult to reverse, which places these models at the higher end of any reasonable tiering assessment.</t>
  </si>
  <si>
    <t xml:space="preserve">Liquidity models supporting investment strategy should be tested against the conditions in which they would actually be relied upon, rather than against normal conditions in which liquidity is not in question.</t>
  </si>
  <si>
    <t xml:space="preserve">Verification: no comparator authority addresses superannuation model risk. Application to RSE licensees is an Australian policy design choice arising from the cross-industry scope of the proposed standard, and is identified as such in the assessment workbook.</t>
  </si>
  <si>
    <t xml:space="preserve">Stress testing models are used where historical data is least informative, so their results depend heavily on assumption and expert judgement. That makes the governance of assumptions the principal control rather than a reason to reduce governance.</t>
  </si>
  <si>
    <t xml:space="preserve">Source: BCBS Stress testing principles [G]. CPS 220 Risk Management [B].</t>
  </si>
  <si>
    <t xml:space="preserve">Forward-looking scenario models addressing risks with limited historical precedent, including climate scenarios, should be presented to decision-makers with the uncertainty in their outputs made explicit, and should not be reported with a precision the method cannot support.</t>
  </si>
  <si>
    <t xml:space="preserve">Expected credit loss models occupy a distinctive position. For most models the output informs a decision that a person then makes; for an expected credit loss model the output is the provision itself. An error is realised immediately in the financial statements, in regulatory capital and in the reported credit quality of the portfolio, and it is realised at the level of the aggregate rather than one exposure at a time.</t>
  </si>
  <si>
    <t xml:space="preserve">The Australian obligation already exists and is binding. APS 220 requires an ADI to have sound policies and processes in place to appropriately validate models used to assess and measure expected credit losses, to adopt sound methodologies for assessing and measuring credit losses, to hold aggregate provisions that are adequate and consistent with the objectives of Australian Accounting Standards, and to use experienced credit judgement in the robust consideration of reasonable and supportable forward-looking information.</t>
  </si>
  <si>
    <t xml:space="preserve">Source: APS 220, Credit risk and accounting for expected credit losses [B]. APG 220, which states that the Basel Committee's Guidance on credit risk and accounting for expected credit losses of 18 December 2015 sets out guidance on sound credit risk practices and that APRA expects ADIs to have regard to it [G]. BCBS d350 [G].</t>
  </si>
  <si>
    <t xml:space="preserve">Verification: the APS 220 obligation to validate expected credit loss models is a near-verbatim transposition of BCBS d350 Principle 5, which reads 'A bank should have policies and procedures in place to appropriately validate models used to assess and measure expected credit losses.' Both texts were read in the primary instruments. This is one of the few domains in which the Australian framework already carries an international model risk principle in binding form.</t>
  </si>
  <si>
    <t xml:space="preserve">What APS 220 does not supply is the content of that validation — what it consists of, who may perform it, how often, and what follows when it finds something. CPS XXXX supplies exactly that. The two are complementary and cumulative: APS 220 states the obligation, this Prudential Standard states the discipline, and an ADI complies with both. Neither reads down the other, so where this Prudential Standard requires more of a model than APS 220 does, the higher obligation is the one to meet. The formal interaction between the two instruments is a matter for settlement on consultation and is recorded in Annex F.</t>
  </si>
  <si>
    <t xml:space="preserve">APRA has observed that many ADIs continue to apply sizeable judgement-based adjustments to compensate for model and data limitations. Adjustments have a legitimate role: models alone may not be calibrated to capture every driver of credit risk, particularly where conditions have moved outside the estimation window. But an overlay is a statement that the model is wrong, and it should be governed as such.</t>
  </si>
  <si>
    <t xml:space="preserve">M38, M28</t>
  </si>
  <si>
    <t xml:space="preserve">Source: APRA, Credit risk provisioning practices for locally incorporated authorised deposit-taking institutions, 19 October 2023 [G]. BCBS Newsletter on credit risk issues, 4 July 2023 [A].</t>
  </si>
  <si>
    <t xml:space="preserve">Where judgemental adjustments are made, APRA expects them to be supported by documented analysis and robust controls and governance, including sound processes for their application, controls over the efficacy of the output, and senior management oversight and accountabilities. An entity should also be able to show that it is monitoring and improving model performance rather than allowing overlays to become a permanent substitute for recalibration.</t>
  </si>
  <si>
    <t xml:space="preserve">The practical test is direction and persistence. An overlay applied in the same direction across successive reporting periods is evidence that the model no longer reflects the exposure. A reviewer would expect to see either a redevelopment plan or a reasoned explanation of why the condition being corrected is genuinely temporary.</t>
  </si>
  <si>
    <t xml:space="preserve">Sensitivity analysis is how an entity demonstrates that it understands what its provision depends on. APRA expects comprehensive sensitivity analysis to be performed on a regular and timely basis across credit portfolios, segmented by industry, geography and other relevant dimensions, so that management and the Board can see how provisions respond to changes in the key underlying drivers of credit risk.</t>
  </si>
  <si>
    <t xml:space="preserve">M38, M41</t>
  </si>
  <si>
    <t xml:space="preserve">This analysis can form part of the entity's broader stress testing capability and inform the internal capital adequacy assessment process and risk appetite review. The same governance expectations apply to it as to the models: clear accountabilities, robust controls and oversight over both the process and the decisions taken from it.</t>
  </si>
  <si>
    <t xml:space="preserve">Source: APRA provisioning letter, 19 October 2023 [G]. CPG 110 Internal Capital Adequacy Assessment Process and Supervisory Review [G].</t>
  </si>
  <si>
    <t xml:space="preserve">APRA has observed that many ADIs continue to rely on manually intensive and judgement-driven processes to capture the effect of emerging risks on vulnerable borrowers and sectors, and has encouraged investment in systematic processes that identify vulnerable sectors and factor sectoral risk into loss estimates.</t>
  </si>
  <si>
    <t xml:space="preserve">Three things carry most of the weight here: the use of collective assessments, the level of segmentation in the models and the data behind them, and the indicators used to transfer exposures in vulnerable sectors into Stage 2 under AASB 9. The staging decision is a modelled judgement with a direct and often large effect on the reported provision, and it should be validated with that in mind.</t>
  </si>
  <si>
    <t xml:space="preserve">Annex G of CPS XXXX sets out the focus areas APRA would expect a review of expected credit loss models to cover. They are drawn from APRA's own published observations on provisioning practice, from the requirements of APS 220, and from the Basel guidance that APG 220 directs ADIs to have regard to.</t>
  </si>
  <si>
    <t xml:space="preserve">M38, M45</t>
  </si>
  <si>
    <t xml:space="preserve">The focus areas are not a checklist to be completed. A review that confirms each item exists without forming a view on whether the provision is right will not have answered the question. The purpose of each area is to test whether the number the entity has reported is supportable.</t>
  </si>
  <si>
    <t xml:space="preserve">A special purpose engagement power exists in every industry to which CPS XXXX applies. The Audit and Related Matters standards — APS 310 for ADIs, GPS 310, LPS 310 and HPS 310 for insurers and SPS 310 for RSE licensees — each allow APRA to require a report on a particular aspect of the entity's operations, risk management and financial position or affairs, in each case at the entity's expense. Risk management includes the management of model risk, so these are the provisions on which a review of an entity's models would ordinarily rest.</t>
  </si>
  <si>
    <t xml:space="preserve">Source: APS 310, GPS 310, LPS 310, HPS 310 and SPS 310, Audit and Related Matters, special purpose engagement provisions [B]. APS 220, Special purpose engagements [B]. The APS 220 provision is reproduced in Annex G of CPS XXXX as it appears under that heading in the rendering used for verification.</t>
  </si>
  <si>
    <t xml:space="preserve">For an ADI there is a second and narrower basis. APS 220 provides that APRA may require an ADI to appoint an independent party to review and report on all or a particular aspect of its credit risk management, including provisioning practices. APRA may, however, request such a report without prior consultation with the ADI, may set the terms of the review, and the review is at the ADI's expense. Because that provision is confined to credit risk management, the focus areas in Annex G that reach the model risk framework at large, third-party arrangements or regulatory reporting rest on APS 310 rather than on APS 220. Entities should expect that APRA may require a review under either, and that the terms would be set by APRA rather than negotiated.</t>
  </si>
  <si>
    <t xml:space="preserve">An entity that maintains its expected credit loss models in accordance with this Prudential Standard should be able to support such an engagement from existing records rather than by assembling evidence in response to it. Where an entity could not, that is itself informative about the state of its model risk management.</t>
  </si>
  <si>
    <t xml:space="preserve">Verification: the special purpose engagement provisions of APS 310, GPS 310, LPS 310, HPS 310 and SPS 310 were each read from the primary instrument on 25 July 2026, as was the Special purpose engagements provision of APS 220. Paragraph numbers are not asserted because the published renderings do not carry them; each provision is cited by its section heading. An earlier draft stated that no such power reached insurers or RSE licensees. That was wrong, was corrected on examination of the Audit and Related Matters standards, and is recorded in the red-team audit trail.</t>
  </si>
  <si>
    <t xml:space="preserve">Aggregate model risk, records and assurance</t>
  </si>
  <si>
    <t xml:space="preserve">Aggregate assessment need not begin with quantification. Concentration of reliance, correlation of method and data across models, common assumptions, and the extent of unvalidated or overdue models are all informative and are generally available before a quantification capability exists.</t>
  </si>
  <si>
    <t xml:space="preserve">Source: PRA SS1/23 Principle 2.1 Board of directors' responsibilities, which covers understanding and reporting of model risk both individually and in aggregate [SE]. US interagency guidance 2026 §III [SE]. ECB supervisory review of model risk [SE].</t>
  </si>
  <si>
    <t xml:space="preserve">Where an entity concludes that no capital is warranted in respect of model risk, that conclusion should be reasoned and recorded. Reaching it by omission is not a conclusion.</t>
  </si>
  <si>
    <t xml:space="preserve">Correlation deserves particular attention. Models that share a data source, a vendor, a core assumption or a development team can fail together, and an aggregate view built by summing independent assessments will understate that exposure.</t>
  </si>
  <si>
    <t xml:space="preserve">Reconstructability allows a supervisor, auditor, actuary or court to establish what the entity knew and when. It should be designed into the model's operation rather than assembled after the event, because the records that matter most are usually those not retained by default.</t>
  </si>
  <si>
    <t xml:space="preserve">Retention periods should align with the entity's other prudential record-keeping obligations and with the period over which the decisions the model informed remain material. For long-tail insurance liabilities and superannuation member outcomes, that period can be considerably longer than for credit decisions.</t>
  </si>
  <si>
    <t xml:space="preserve">Internal audit's role is to assess whether the framework works, not to re-perform validation. Testing whether findings are genuinely resolved, whether tiering is applied consistently across businesses, and whether the inventory is complete is generally more informative than re-examining model methodology.</t>
  </si>
  <si>
    <t xml:space="preserve">Source: PRA SS1/23 Principle 2.5 Internal Audit [SE]. US interagency guidance 2026 §VI, roles and responsibilities [SE]. ECB Guide to internal models, internal audit [SE].</t>
  </si>
  <si>
    <t xml:space="preserve">Where internal audit lacks the technical capability to assess validation quality, the entity should obtain that capability, through co-sourcing or specialist recruitment, rather than narrow the scope of the assurance to what the existing team can cover.</t>
  </si>
  <si>
    <t xml:space="preserve">Early engagement is expected where an entity identifies a material weakness in a model used for regulatory capital, reserving or reporting. Engagement at the point the correction is finalised gives APRA no opportunity to consider the issue while options remain open.</t>
  </si>
  <si>
    <t xml:space="preserve">Where a model failure is also an operational risk or information security incident, the notification requirements of the applicable prudential standards apply. CPS XXXX does not create a separate or conflicting deadline.</t>
  </si>
  <si>
    <t xml:space="preserve">Verification: the decision not to introduce a model-risk-specific notification deadline was deliberate. Introducing one risked conflicting with existing materiality criteria and timeframes, and is recorded as a correction in the red-team audit trail.</t>
  </si>
  <si>
    <t xml:space="preserve">Implementation</t>
  </si>
  <si>
    <t xml:space="preserve">APRA recognises that meeting CPS XXXX will require material uplift for many entities, particularly in inventory completeness, tiering consistency and validation coverage. The following phasing is indicative and would be settled through consultation.</t>
  </si>
  <si>
    <t xml:space="preserve">Entities should sequence by risk rather than by convenience. Establishing validation for the highest-tier models before completing the inventory of the lowest is generally the better order, provided discovery continues in parallel.</t>
  </si>
  <si>
    <t xml:space="preserve">Comparable transitions internationally have allowed extended lead times. OSFI's Guideline E-23 (2027) was published on 11 September 2025 with effect from 1 May 2027, providing approximately eighteen months. The PRA's SS1/23 was published in May 2023 with effect from 17 May 2024, providing twelve months.</t>
  </si>
  <si>
    <t xml:space="preserve">Verification: both transition periods were confirmed from the primary instruments. The phasing in the table above is illustrative APRA drafting and is not derived from any comparator instrument.</t>
  </si>
  <si>
    <t xml:space="preserve">International principles register</t>
  </si>
  <si>
    <t xml:space="preserve">POLICY DEVELOPMENT DRAFT — NOT IN FORCE | Principle labels and titles reproduced as printed by the issuing authority. Confidence records whether the text was read in the primary document.</t>
  </si>
  <si>
    <t xml:space="preserve">Label</t>
  </si>
  <si>
    <t xml:space="preserve">Title as printed</t>
  </si>
  <si>
    <t xml:space="preserve">Confidence</t>
  </si>
  <si>
    <t xml:space="preserve">PRA SS1/23 — Model risk management principles for banks</t>
  </si>
  <si>
    <t xml:space="preserve">Principle 1</t>
  </si>
  <si>
    <t xml:space="preserve">Model identification and model risk classification</t>
  </si>
  <si>
    <t xml:space="preserve">Principle 1.1</t>
  </si>
  <si>
    <t xml:space="preserve">Model definition</t>
  </si>
  <si>
    <t xml:space="preserve">Principle 1.2</t>
  </si>
  <si>
    <t xml:space="preserve">Principle 1.3</t>
  </si>
  <si>
    <t xml:space="preserve">Model tiering</t>
  </si>
  <si>
    <t xml:space="preserve">Principle 2</t>
  </si>
  <si>
    <t xml:space="preserve">Governance</t>
  </si>
  <si>
    <t xml:space="preserve">Principle 2.1</t>
  </si>
  <si>
    <t xml:space="preserve">Board of directors’ responsibilities</t>
  </si>
  <si>
    <t xml:space="preserve">Principle 2.2</t>
  </si>
  <si>
    <t xml:space="preserve">SMF accountability for model risk management framework</t>
  </si>
  <si>
    <t xml:space="preserve">Principle 2.3</t>
  </si>
  <si>
    <t xml:space="preserve">Policies and procedures</t>
  </si>
  <si>
    <t xml:space="preserve">Principle 2.4</t>
  </si>
  <si>
    <t xml:space="preserve">Roles and responsibilities</t>
  </si>
  <si>
    <t xml:space="preserve">Principle 2.5</t>
  </si>
  <si>
    <t xml:space="preserve">Internal Audit</t>
  </si>
  <si>
    <t xml:space="preserve">Principle 2.6</t>
  </si>
  <si>
    <t xml:space="preserve">Use of externally developed models, third-party vendor products</t>
  </si>
  <si>
    <t xml:space="preserve">Principle 3</t>
  </si>
  <si>
    <t xml:space="preserve">Model development, implementation, and use</t>
  </si>
  <si>
    <t xml:space="preserve">Principle 3.1</t>
  </si>
  <si>
    <t xml:space="preserve">Model purpose and design</t>
  </si>
  <si>
    <t xml:space="preserve">Principle 3.2</t>
  </si>
  <si>
    <t xml:space="preserve">The use of data</t>
  </si>
  <si>
    <t xml:space="preserve">Principle 3.3</t>
  </si>
  <si>
    <t xml:space="preserve">Model development testing</t>
  </si>
  <si>
    <t xml:space="preserve">Principle 3.4</t>
  </si>
  <si>
    <t xml:space="preserve">Model adjustments and expert judgement</t>
  </si>
  <si>
    <t xml:space="preserve">Principle 3.5</t>
  </si>
  <si>
    <t xml:space="preserve">Model development documentation</t>
  </si>
  <si>
    <t xml:space="preserve">Principle 3.6</t>
  </si>
  <si>
    <t xml:space="preserve">Supporting systems</t>
  </si>
  <si>
    <t xml:space="preserve">Principle 4</t>
  </si>
  <si>
    <t xml:space="preserve">Independent model validation</t>
  </si>
  <si>
    <t xml:space="preserve">Principle 4.1</t>
  </si>
  <si>
    <t xml:space="preserve">The independent validation function</t>
  </si>
  <si>
    <t xml:space="preserve">Principle 4.2</t>
  </si>
  <si>
    <t xml:space="preserve">Independent review</t>
  </si>
  <si>
    <t xml:space="preserve">Principle 4.3</t>
  </si>
  <si>
    <t xml:space="preserve">Process verification</t>
  </si>
  <si>
    <t xml:space="preserve">Principle 4.4</t>
  </si>
  <si>
    <t xml:space="preserve">Model performance monitoring</t>
  </si>
  <si>
    <t xml:space="preserve">Principle 4.5</t>
  </si>
  <si>
    <t xml:space="preserve">Periodic revalidation</t>
  </si>
  <si>
    <t xml:space="preserve">Principle 5</t>
  </si>
  <si>
    <t xml:space="preserve">Model risk mitigants</t>
  </si>
  <si>
    <t xml:space="preserve">Principle 5.1</t>
  </si>
  <si>
    <t xml:space="preserve">Process for applying post-model adjustments</t>
  </si>
  <si>
    <t xml:space="preserve">Principle 5.2</t>
  </si>
  <si>
    <t xml:space="preserve">Restrictions on model use</t>
  </si>
  <si>
    <t xml:space="preserve">Principle 5.3</t>
  </si>
  <si>
    <t xml:space="preserve">Exceptions and escalations</t>
  </si>
  <si>
    <t xml:space="preserve">OSFI Guideline E-23 — Model Risk Management (2027)</t>
  </si>
  <si>
    <t xml:space="preserve">Outcome 1</t>
  </si>
  <si>
    <t xml:space="preserve">Model risk is well understood and managed across the enterprise.</t>
  </si>
  <si>
    <t xml:space="preserve">Effective reporting structures and proper resourcing should enable sound model governance.</t>
  </si>
  <si>
    <t xml:space="preserve">The MRM framework should align risk-taking activities to strategic objectives and risk appetite.</t>
  </si>
  <si>
    <t xml:space="preserve">Models should be appropriate for their business purposes.</t>
  </si>
  <si>
    <t xml:space="preserve">Outcome 2</t>
  </si>
  <si>
    <t xml:space="preserve">Model risk is managed using a risk-based approach.</t>
  </si>
  <si>
    <t xml:space="preserve">Institutions should identify and track all models in use or recently decommissioned.</t>
  </si>
  <si>
    <t xml:space="preserve">Institutions should establish a model risk rating approach that assesses key dimensions of model risk.</t>
  </si>
  <si>
    <t xml:space="preserve">The scope, scale, and intensity of MRM should be commensurate with the risk introduced by the model.</t>
  </si>
  <si>
    <t xml:space="preserve">Outcome 3</t>
  </si>
  <si>
    <t xml:space="preserve">Model governance covers the entire model lifecycle.</t>
  </si>
  <si>
    <t xml:space="preserve">MRM policies, procedures, and controls should be robust, flexible, and lead to effective requirements applied across the model lifecycle.</t>
  </si>
  <si>
    <t xml:space="preserve">Data used to develop the model should be suitable for the intended use.</t>
  </si>
  <si>
    <t xml:space="preserve">Institutions should have model development processes that set clear standards for performance and documentation.</t>
  </si>
  <si>
    <t xml:space="preserve">Institutions should have a process to independently assess conceptual soundness and performance of models.</t>
  </si>
  <si>
    <t xml:space="preserve">Models should be deployed in an environment with quality and change control processes.</t>
  </si>
  <si>
    <t xml:space="preserve">Institutions should have defined standards for model monitoring, and model decommission.</t>
  </si>
  <si>
    <t xml:space="preserve">US interagency Supervisory Guidance on Model Risk Management (SR 26-2 / OCC 2026-13 / FDIC FIL-15-2026, 17 April 2026)</t>
  </si>
  <si>
    <t xml:space="preserve">I</t>
  </si>
  <si>
    <t xml:space="preserve">INTRODUCTION</t>
  </si>
  <si>
    <t xml:space="preserve">II</t>
  </si>
  <si>
    <t xml:space="preserve">PURPOSE AND SCOPE</t>
  </si>
  <si>
    <t xml:space="preserve">III</t>
  </si>
  <si>
    <t xml:space="preserve">OVERVIEW OF MODEL RISK AND MODEL RISK MANAGEMENT</t>
  </si>
  <si>
    <t xml:space="preserve">IV</t>
  </si>
  <si>
    <t xml:space="preserve">MODEL DEVELOPMENT AND MODEL USE</t>
  </si>
  <si>
    <t xml:space="preserve">IV — sub</t>
  </si>
  <si>
    <t xml:space="preserve">Model Development; Model Use</t>
  </si>
  <si>
    <t xml:space="preserve">V</t>
  </si>
  <si>
    <t xml:space="preserve">MODEL VALIDATION AND MONITORING</t>
  </si>
  <si>
    <t xml:space="preserve">V — sub</t>
  </si>
  <si>
    <t xml:space="preserve">Components of Model Validation; Conceptual Soundness; Outcomes Analysis; Ongoing Model Monitoring</t>
  </si>
  <si>
    <t xml:space="preserve">VI</t>
  </si>
  <si>
    <t xml:space="preserve">GOVERNANCE AND CONTROLS</t>
  </si>
  <si>
    <t xml:space="preserve">VI — sub</t>
  </si>
  <si>
    <t xml:space="preserve">Roles and Responsibilities; Model Inventory; Documentation</t>
  </si>
  <si>
    <t xml:space="preserve">VII</t>
  </si>
  <si>
    <t xml:space="preserve">VENDOR AND OTHER THIRD-PARTY PRODUCTS</t>
  </si>
  <si>
    <t xml:space="preserve">ECB guide to internal models (June 2026, release 4.1) — overarching principles chapter</t>
  </si>
  <si>
    <t xml:space="preserve">Section 1</t>
  </si>
  <si>
    <t xml:space="preserve">Guidelines at consolidated and subsidiary levels</t>
  </si>
  <si>
    <t xml:space="preserve">Section 2</t>
  </si>
  <si>
    <t xml:space="preserve">Documentation of internal models</t>
  </si>
  <si>
    <t xml:space="preserve">Section 3</t>
  </si>
  <si>
    <t xml:space="preserve">Data governance</t>
  </si>
  <si>
    <t xml:space="preserve">Section 4</t>
  </si>
  <si>
    <t xml:space="preserve">Implementation of a model risk management framework</t>
  </si>
  <si>
    <t xml:space="preserve">Section 5</t>
  </si>
  <si>
    <t xml:space="preserve">Identification of management body and senior management</t>
  </si>
  <si>
    <t xml:space="preserve">Section 6</t>
  </si>
  <si>
    <t xml:space="preserve">General principles for internal validation</t>
  </si>
  <si>
    <t xml:space="preserve">Section 7</t>
  </si>
  <si>
    <t xml:space="preserve">General principles for internal audit</t>
  </si>
  <si>
    <t xml:space="preserve">Section 8</t>
  </si>
  <si>
    <t xml:space="preserve">General principles on climate-related and environmental risks</t>
  </si>
  <si>
    <t xml:space="preserve">Section 9</t>
  </si>
  <si>
    <t xml:space="preserve">The use of machine learning techniques in internal models</t>
  </si>
  <si>
    <t xml:space="preserve">Section 10</t>
  </si>
  <si>
    <t xml:space="preserve">General principles for the implementation of a changed or extended model</t>
  </si>
  <si>
    <t xml:space="preserve">Section 11</t>
  </si>
  <si>
    <t xml:space="preserve">Third-party involvement</t>
  </si>
  <si>
    <t xml:space="preserve">Section 12</t>
  </si>
  <si>
    <t xml:space="preserve">Internal models in the context of consolidations</t>
  </si>
  <si>
    <t xml:space="preserve">Regulation (EU) No 575/2013 (CRR) — binding internal model articles</t>
  </si>
  <si>
    <t xml:space="preserve">Article 174</t>
  </si>
  <si>
    <t xml:space="preserve">Use of models</t>
  </si>
  <si>
    <t xml:space="preserve">Article 179</t>
  </si>
  <si>
    <t xml:space="preserve">Overall requirements for estimation</t>
  </si>
  <si>
    <t xml:space="preserve">Article 185</t>
  </si>
  <si>
    <t xml:space="preserve">Validation of internal estimates</t>
  </si>
  <si>
    <t xml:space="preserve">Article 188</t>
  </si>
  <si>
    <t xml:space="preserve">Validation and documentation</t>
  </si>
  <si>
    <t xml:space="preserve">Article 189</t>
  </si>
  <si>
    <t xml:space="preserve">Corporate Governance</t>
  </si>
  <si>
    <t xml:space="preserve">Article 191</t>
  </si>
  <si>
    <t xml:space="preserve">BCBS 239 — Principles for effective risk data aggregation and risk reporting</t>
  </si>
  <si>
    <t xml:space="preserve">Data architecture and IT infrastructure</t>
  </si>
  <si>
    <t xml:space="preserve">Accuracy and Integrity</t>
  </si>
  <si>
    <t xml:space="preserve">Completeness</t>
  </si>
  <si>
    <t xml:space="preserve">Timeliness</t>
  </si>
  <si>
    <t xml:space="preserve">Principle 6</t>
  </si>
  <si>
    <t xml:space="preserve">Adaptability</t>
  </si>
  <si>
    <t xml:space="preserve">Principle 7</t>
  </si>
  <si>
    <t xml:space="preserve">Accuracy</t>
  </si>
  <si>
    <t xml:space="preserve">Principle 8</t>
  </si>
  <si>
    <t xml:space="preserve">Comprehensiveness</t>
  </si>
  <si>
    <t xml:space="preserve">Principle 9</t>
  </si>
  <si>
    <t xml:space="preserve">Clarity and usefulness</t>
  </si>
  <si>
    <t xml:space="preserve">Principle 10</t>
  </si>
  <si>
    <t xml:space="preserve">Frequency</t>
  </si>
  <si>
    <t xml:space="preserve">Principle 11</t>
  </si>
  <si>
    <t xml:space="preserve">Distribution</t>
  </si>
  <si>
    <t xml:space="preserve">Principle 12</t>
  </si>
  <si>
    <t xml:space="preserve">Review</t>
  </si>
  <si>
    <t xml:space="preserve">Principle 13</t>
  </si>
  <si>
    <t xml:space="preserve">Remedial actions and supervisory measures</t>
  </si>
  <si>
    <t xml:space="preserve">Principle 14</t>
  </si>
  <si>
    <t xml:space="preserve">Home/host cooperation</t>
  </si>
  <si>
    <t xml:space="preserve">BCBS Guidance on credit risk and accounting for expected credit losses (d350, 18 December 2015)</t>
  </si>
  <si>
    <t xml:space="preserve">A bank's board of directors (or equivalent) and senior management are responsible for ensuring that the bank has appropriate credit risk practices, including an effective system of internal control, to consistently determine adequate allowances in accordance with the bank's stated policies and procedures, the applicable accounting framework and relevant supervisory guidance.</t>
  </si>
  <si>
    <t xml:space="preserve">A bank should adopt, document and adhere to sound methodologies that address policies, procedures and controls for assessing and measuring credit risk on all lending exposures. The measurement of allowances should build upon those robust methodologies and result in the appropriate and timely recognition of expected credit losses in accordance with the applicable accounting framework.</t>
  </si>
  <si>
    <t xml:space="preserve">A bank should have a credit risk rating process in place to appropriately group lending exposures on the basis of shared credit risk characteristics.</t>
  </si>
  <si>
    <t xml:space="preserve">A bank's aggregate amount of allowances, regardless of whether allowance components are determined on a collective or an individual basis, should be adequate and consistent with the objectives of the applicable accounting framework.</t>
  </si>
  <si>
    <t xml:space="preserve">A bank should have policies and procedures in place to appropriately validate models used to assess and measure expected credit losses.</t>
  </si>
  <si>
    <t xml:space="preserve">A bank's use of experienced credit judgment, especially in the robust consideration of reasonable and supportable forward-looking information, including macroeconomic factors, is essential to the assessment and measurement of expected credit losses.</t>
  </si>
  <si>
    <t xml:space="preserve">A bank should have a sound credit risk assessment and measurement process that provides it with a strong basis for common systems, tools and data to assess credit risk and to account for expected credit losses.</t>
  </si>
  <si>
    <t xml:space="preserve">A bank's public disclosures should promote transparency and comparability by providing timely, relevant and decision-useful information.</t>
  </si>
  <si>
    <t xml:space="preserve">Banking supervisors should periodically evaluate the effectiveness of a bank's credit risk practices.</t>
  </si>
  <si>
    <t xml:space="preserve">Banking supervisors should be satisfied that the methods employed by a bank to determine accounting allowances lead to an appropriate measurement of expected credit losses in accordance with the applicable accounting framework.</t>
  </si>
  <si>
    <t xml:space="preserve">Banking supervisors should consider a bank's credit risk practices when assessing a bank's capital adequacy.</t>
  </si>
  <si>
    <t xml:space="preserve">BCBS Stress testing principles (d450, October 2018)</t>
  </si>
  <si>
    <t xml:space="preserve">Stress testing frameworks should have clearly articulated and formally adopted objectives</t>
  </si>
  <si>
    <t xml:space="preserve">Stress testing frameworks should include an effective governance structure</t>
  </si>
  <si>
    <t xml:space="preserve">Stress testing should be used as a risk management tool and to inform business decisions</t>
  </si>
  <si>
    <t xml:space="preserve">Stress testing frameworks should capture material and relevant risks and apply stresses that are sufficiently severe</t>
  </si>
  <si>
    <t xml:space="preserve">Resources and organisational structures should be adequate to meet the objectives of the stress testing framework</t>
  </si>
  <si>
    <t xml:space="preserve">Stress tests should be supported by accurate and sufficiently granular data and by robust IT systems</t>
  </si>
  <si>
    <t xml:space="preserve">Models and methodologies to assess the impacts of scenarios and sensitivities should be fit for purpose</t>
  </si>
  <si>
    <t xml:space="preserve">Stress testing models, results and frameworks should be subject to challenge and regular review</t>
  </si>
  <si>
    <t xml:space="preserve">Stress testing practices and findings should be communicated within and across jurisdictions</t>
  </si>
  <si>
    <t xml:space="preserve">BCBS Principles for the sound management of third-party risk (d605)</t>
  </si>
  <si>
    <t xml:space="preserve">Principles 1–2</t>
  </si>
  <si>
    <t xml:space="preserve">Governance, risk management and strategy</t>
  </si>
  <si>
    <t xml:space="preserve">Risk assessment</t>
  </si>
  <si>
    <t xml:space="preserve">Due diligence</t>
  </si>
  <si>
    <t xml:space="preserve">Contracting</t>
  </si>
  <si>
    <t xml:space="preserve">Onboarding</t>
  </si>
  <si>
    <t xml:space="preserve">Ongoing monitoring</t>
  </si>
  <si>
    <t xml:space="preserve">Business continuity management</t>
  </si>
  <si>
    <t xml:space="preserve">Termination</t>
  </si>
  <si>
    <t xml:space="preserve">Principles 10–12</t>
  </si>
  <si>
    <t xml:space="preserve">Role of supervisors</t>
  </si>
  <si>
    <t xml:space="preserve">MAS Notice 637 — internal model validation provisions</t>
  </si>
  <si>
    <t xml:space="preserve">Section 7, paras 7.1–7.6</t>
  </si>
  <si>
    <t xml:space="preserve">Model Validation Requirements</t>
  </si>
  <si>
    <t xml:space="preserve">Section 2, para 2.5(a)–(c)</t>
  </si>
  <si>
    <t xml:space="preserve">Internal Validation</t>
  </si>
  <si>
    <t xml:space="preserve">Section 2, para 2.6(a)–(e)</t>
  </si>
  <si>
    <t xml:space="preserve">Independent Review of Internal Validation</t>
  </si>
  <si>
    <t xml:space="preserve">MAS FEAT Principles (November 2018) and the Artificial Intelligence Model Risk Management information paper (December 2024)</t>
  </si>
  <si>
    <t xml:space="preserve">FEAT 1–2</t>
  </si>
  <si>
    <t xml:space="preserve">Justifiability</t>
  </si>
  <si>
    <t xml:space="preserve">FEAT 3–4</t>
  </si>
  <si>
    <t xml:space="preserve">Accuracy and Bias</t>
  </si>
  <si>
    <t xml:space="preserve">FEAT 5–6</t>
  </si>
  <si>
    <t xml:space="preserve">Ethics (no printed sub-heading)</t>
  </si>
  <si>
    <t xml:space="preserve">FEAT 7–9</t>
  </si>
  <si>
    <t xml:space="preserve">Internal Accountability</t>
  </si>
  <si>
    <t xml:space="preserve">FEAT 10–11</t>
  </si>
  <si>
    <t xml:space="preserve">External Accountability</t>
  </si>
  <si>
    <t xml:space="preserve">FEAT 12–14</t>
  </si>
  <si>
    <t xml:space="preserve">Transparency (no printed sub-heading)</t>
  </si>
  <si>
    <t xml:space="preserve">Info paper §4</t>
  </si>
  <si>
    <t xml:space="preserve">Governance and Oversight</t>
  </si>
  <si>
    <t xml:space="preserve">Info paper §5</t>
  </si>
  <si>
    <t xml:space="preserve">Key Risk Management Systems and Processes</t>
  </si>
  <si>
    <t xml:space="preserve">Info paper §6</t>
  </si>
  <si>
    <t xml:space="preserve">Development and Deployment</t>
  </si>
  <si>
    <t xml:space="preserve">FSB Sound Practices for Responsible Adoption of Artificial Intelligence — consultation report</t>
  </si>
  <si>
    <t xml:space="preserve">Sound Practice 1</t>
  </si>
  <si>
    <t xml:space="preserve">Strategic direction and oversight</t>
  </si>
  <si>
    <t xml:space="preserve">Sound Practice 2</t>
  </si>
  <si>
    <t xml:space="preserve">Sound Practice 3</t>
  </si>
  <si>
    <t xml:space="preserve">Incorporation of AI risks into risk management framework</t>
  </si>
  <si>
    <t xml:space="preserve">Sound Practice 4</t>
  </si>
  <si>
    <t xml:space="preserve">Organisational adaptability</t>
  </si>
  <si>
    <t xml:space="preserve">Sound Practice 5</t>
  </si>
  <si>
    <t xml:space="preserve">Materiality and risk assessment</t>
  </si>
  <si>
    <t xml:space="preserve">Sound Practice 6</t>
  </si>
  <si>
    <t xml:space="preserve">Selection</t>
  </si>
  <si>
    <t xml:space="preserve">Sound Practice 7</t>
  </si>
  <si>
    <t xml:space="preserve">Sound Practice 8</t>
  </si>
  <si>
    <t xml:space="preserve">Explainability and transparency</t>
  </si>
  <si>
    <t xml:space="preserve">Sound Practice 9</t>
  </si>
  <si>
    <t xml:space="preserve">Performance management</t>
  </si>
  <si>
    <t xml:space="preserve">Sound Practice 10</t>
  </si>
  <si>
    <t xml:space="preserve">Human oversight</t>
  </si>
  <si>
    <t xml:space="preserve">Sound Practice 11</t>
  </si>
  <si>
    <t xml:space="preserve">Cyber and ICT risk management</t>
  </si>
  <si>
    <t xml:space="preserve">Sound Practice 12</t>
  </si>
  <si>
    <t xml:space="preserve">Third-party AI risk management</t>
  </si>
  <si>
    <t xml:space="preserve">FSB, The Financial Stability Implications of Artificial Intelligence (14 November 2024) — identified vulnerabilities</t>
  </si>
  <si>
    <t xml:space="preserve">§4.2.1</t>
  </si>
  <si>
    <t xml:space="preserve">Third-party dependencies and service provider concentration</t>
  </si>
  <si>
    <t xml:space="preserve">§4.2.2</t>
  </si>
  <si>
    <t xml:space="preserve">Market correlations</t>
  </si>
  <si>
    <t xml:space="preserve">§4.2.3</t>
  </si>
  <si>
    <t xml:space="preserve">Cyber</t>
  </si>
  <si>
    <t xml:space="preserve">§4.2.4</t>
  </si>
  <si>
    <t xml:space="preserve">Model risk, data, and governance</t>
  </si>
  <si>
    <t xml:space="preserve">§4.2.5</t>
  </si>
  <si>
    <t xml:space="preserve">Other vulnerabilities</t>
  </si>
  <si>
    <t xml:space="preserve">Australian instruments carrying model governance obligations</t>
  </si>
  <si>
    <t xml:space="preserve">APS 113 paras 15–19</t>
  </si>
  <si>
    <t xml:space="preserve">Key principles</t>
  </si>
  <si>
    <t xml:space="preserve">APS 113 paras 20–23</t>
  </si>
  <si>
    <t xml:space="preserve">Governance and oversight</t>
  </si>
  <si>
    <t xml:space="preserve">APS 113 para 27</t>
  </si>
  <si>
    <t xml:space="preserve">APS 113 paras 42–56</t>
  </si>
  <si>
    <t xml:space="preserve">IRB approval, initial approval, phased roll-out, permanent partial use and ongoing requirements</t>
  </si>
  <si>
    <t xml:space="preserve">APS 113 Att. D paras 29–35</t>
  </si>
  <si>
    <t xml:space="preserve">Use of statistical models in the rating process</t>
  </si>
  <si>
    <t xml:space="preserve">APS 113 Att. D paras 67–68</t>
  </si>
  <si>
    <t xml:space="preserve">Use of internal ratings (the use test)</t>
  </si>
  <si>
    <t xml:space="preserve">APS 113 Att. D paras 103–109</t>
  </si>
  <si>
    <t xml:space="preserve">APG 113 Chapter 7</t>
  </si>
  <si>
    <t xml:space="preserve">Validation of rating systems and risk estimates</t>
  </si>
  <si>
    <t xml:space="preserve">CPS 220 paras 19–26</t>
  </si>
  <si>
    <t xml:space="preserve">Risk management framework</t>
  </si>
  <si>
    <t xml:space="preserve">CPS 220 paras 27–28</t>
  </si>
  <si>
    <t xml:space="preserve">Risk appetite</t>
  </si>
  <si>
    <t xml:space="preserve">CPS 220 paras 44–51</t>
  </si>
  <si>
    <t xml:space="preserve">Review of the risk management framework</t>
  </si>
  <si>
    <t xml:space="preserve">CPS 230 paras 11–14</t>
  </si>
  <si>
    <t xml:space="preserve">CPS 230 paras 28–30</t>
  </si>
  <si>
    <t xml:space="preserve">Operational risk controls</t>
  </si>
  <si>
    <t xml:space="preserve">CPS 230 paras 34–38</t>
  </si>
  <si>
    <t xml:space="preserve">Critical operations and tolerance levels</t>
  </si>
  <si>
    <t xml:space="preserve">CPS 234</t>
  </si>
  <si>
    <t xml:space="preserve">Information security controls, testing and incident notification</t>
  </si>
  <si>
    <t xml:space="preserve">CPG 235</t>
  </si>
  <si>
    <t xml:space="preserve">Managing data risk — practice guide, non-enforceable</t>
  </si>
  <si>
    <t xml:space="preserve">CPS 320 paras 22–23</t>
  </si>
  <si>
    <t xml:space="preserve">Actuarial advice framework</t>
  </si>
  <si>
    <t xml:space="preserve">CPS 320 paras 24–33</t>
  </si>
  <si>
    <t xml:space="preserve">Financial Condition Report and Actuarial Valuation Report</t>
  </si>
  <si>
    <t xml:space="preserve">CPS 320 paras 35–40</t>
  </si>
  <si>
    <t xml:space="preserve">Actuarial reviews required by APRA</t>
  </si>
  <si>
    <t xml:space="preserve">SPS 530 paras 10–15</t>
  </si>
  <si>
    <t xml:space="preserve">Investment governance framework</t>
  </si>
  <si>
    <t xml:space="preserve">SPS 530 paras 30–35</t>
  </si>
  <si>
    <t xml:space="preserve">Investment stress testing</t>
  </si>
  <si>
    <t xml:space="preserve">SPS 515</t>
  </si>
  <si>
    <t xml:space="preserve">Strategic planning and member outcomes</t>
  </si>
  <si>
    <t xml:space="preserve">Key-statement provenance ledger</t>
  </si>
  <si>
    <t xml:space="preserve">POLICY DEVELOPMENT DRAFT — NOT IN FORCE | Designed for fact checking. Every material assertion about an overseas framework appears here with its evidential basis.</t>
  </si>
  <si>
    <t xml:space="preserve">Statement ID</t>
  </si>
  <si>
    <t xml:space="preserve">Artefact</t>
  </si>
  <si>
    <t xml:space="preserve">Topic</t>
  </si>
  <si>
    <t xml:space="preserve">Key statement</t>
  </si>
  <si>
    <t xml:space="preserve">Verification status</t>
  </si>
  <si>
    <t xml:space="preserve">Basis</t>
  </si>
  <si>
    <t xml:space="preserve">Correction trail</t>
  </si>
  <si>
    <t xml:space="preserve">ST-01</t>
  </si>
  <si>
    <t xml:space="preserve">CPS XXXX / CPG XXXX</t>
  </si>
  <si>
    <t xml:space="preserve">US legal status</t>
  </si>
  <si>
    <t xml:space="preserve">The United States model risk guidance is supervisory guidance and does not have the force and effect of law.</t>
  </si>
  <si>
    <t xml:space="preserve">12 CFR Part 4 Subpart F (OCC), 12 CFR §262.7 and Part 262 Appendix A (Board), 12 CFR Part 302 Subpart A (FDIC), codifying the 2018 interagency statement. SR 26-2 repeats the disclaimer on its face.</t>
  </si>
  <si>
    <t xml:space="preserve">None required.</t>
  </si>
  <si>
    <t xml:space="preserve">ST-02</t>
  </si>
  <si>
    <t xml:space="preserve">All artefacts</t>
  </si>
  <si>
    <t xml:space="preserve">US currency</t>
  </si>
  <si>
    <t xml:space="preserve">OCC Bulletin 2011-12 and Federal Reserve SR 11-7 were rescinded and superseded on 17 April 2026 by SR 26-2, OCC Bulletin 2026-13 and FDIC FIL-15-2026.</t>
  </si>
  <si>
    <t xml:space="preserve">SR 26-2 cover letter supersession statement; the four-item rescission list in OCC Bulletin 2026-13; FDIC FIL-15-2026; and the 'RESCINDED — Replaced, see OCC 2026-13' watermark on the OCC copy of the 2011 attachment.</t>
  </si>
  <si>
    <t xml:space="preserve">Corrected. The package initially cited SR 11-7 as current throughout. See RT-01.</t>
  </si>
  <si>
    <t xml:space="preserve">ST-03</t>
  </si>
  <si>
    <t xml:space="preserve">CPS XXXX M02</t>
  </si>
  <si>
    <t xml:space="preserve">US model definition</t>
  </si>
  <si>
    <t xml:space="preserve">The current US definition is narrower than the definition adopted in CPS XXXX and excludes spreadsheet arithmetic, deterministic rule-based processes, and generative and agentic AI.</t>
  </si>
  <si>
    <t xml:space="preserve">SR 26-2 §II and footnote 3.</t>
  </si>
  <si>
    <t xml:space="preserve">Corrected. The draft initially attributed a broad three-part definition to current US guidance. See RT-02.</t>
  </si>
  <si>
    <t xml:space="preserve">ST-04</t>
  </si>
  <si>
    <t xml:space="preserve">CPS XXXX M23 / CPG XXXX</t>
  </si>
  <si>
    <t xml:space="preserve">Effective challenge survives in the 2026 US guidance, reformulated around expertise, sufficient independence, and organisational standing and influence to effect change.</t>
  </si>
  <si>
    <t xml:space="preserve">SR 26-2 §III. The rescinded 2011 formulation was a combination of incentives, competence and influence.</t>
  </si>
  <si>
    <t xml:space="preserve">Corrected. The draft initially used the 2011 formulation. See RT-03.</t>
  </si>
  <si>
    <t xml:space="preserve">ST-05</t>
  </si>
  <si>
    <t xml:space="preserve">CPS XXXX M22 / CPG XXXX</t>
  </si>
  <si>
    <t xml:space="preserve">The components of validation are conceptual soundness, outcomes analysis and ongoing model monitoring.</t>
  </si>
  <si>
    <t xml:space="preserve">SR 26-2 §V, sub-headings 'Components of Model Validation', 'Conceptual Soundness', 'Outcomes Analysis', 'Ongoing Model Monitoring'.</t>
  </si>
  <si>
    <t xml:space="preserve">Corrected from the 2011 naming and ordering. See RT-04.</t>
  </si>
  <si>
    <t xml:space="preserve">ST-06</t>
  </si>
  <si>
    <t xml:space="preserve">PRA principle structure</t>
  </si>
  <si>
    <t xml:space="preserve">PRA SS1/23 has five principles and 23 sub-principles. Principle 5 is 'Model risk mitigants'.</t>
  </si>
  <si>
    <t xml:space="preserve">SS1/23 primary text, principle and sub-principle headings transcribed verbatim.</t>
  </si>
  <si>
    <t xml:space="preserve">Corrected. A predecessor document in this project described Principle 5 as 'reporting'. See RT-05.</t>
  </si>
  <si>
    <t xml:space="preserve">ST-07</t>
  </si>
  <si>
    <t xml:space="preserve">OSFI structure</t>
  </si>
  <si>
    <t xml:space="preserve">OSFI Guideline E-23 (2027) is structured as three outcomes and twelve principles numbered 1.1 to 3.6.</t>
  </si>
  <si>
    <t xml:space="preserve">E-23 (2027) sections A.5, B, C and D, principle headings transcribed verbatim.</t>
  </si>
  <si>
    <t xml:space="preserve">Corrected. A predecessor document described E-23 as having three outcomes only, which under-represents it by twelve citable units. See RT-06.</t>
  </si>
  <si>
    <t xml:space="preserve">ST-08</t>
  </si>
  <si>
    <t xml:space="preserve">OSFI status and scope</t>
  </si>
  <si>
    <t xml:space="preserve">E-23 (2027) was published on 11 September 2025 and takes effect on 1 May 2027. It covers banks, foreign bank branches, life and fraternal companies, property and casualty companies and trust and loan companies, and does not apply to federally regulated pension plans.</t>
  </si>
  <si>
    <t xml:space="preserve">OSFI guidance library entry for E-23 (2027) and the covering letter.</t>
  </si>
  <si>
    <t xml:space="preserve">ST-09</t>
  </si>
  <si>
    <t xml:space="preserve">ECB currency</t>
  </si>
  <si>
    <t xml:space="preserve">The ECB guide to internal models is at its June 2026 release, whose overarching principles chapter includes a section on implementation of a model risk management framework and a section on the use of machine learning techniques in internal models.</t>
  </si>
  <si>
    <t xml:space="preserve">ECB guide to internal models, chapter and section headings.</t>
  </si>
  <si>
    <t xml:space="preserve">Corrected from an initial citation of the February 2024 release. See RT-07.</t>
  </si>
  <si>
    <t xml:space="preserve">ST-10</t>
  </si>
  <si>
    <t xml:space="preserve">CPG XXXX Annex</t>
  </si>
  <si>
    <t xml:space="preserve">CRR binding articles</t>
  </si>
  <si>
    <t xml:space="preserve">The binding EU obligations on internal models sit in CRR Articles 174, 179, 185, 188, 189 and 191; the ECB guide interprets them and is not itself a legal act.</t>
  </si>
  <si>
    <t xml:space="preserve">Regulation (EU) No 575/2013, article headings.</t>
  </si>
  <si>
    <t xml:space="preserve">ST-11</t>
  </si>
  <si>
    <t xml:space="preserve">FSB status</t>
  </si>
  <si>
    <t xml:space="preserve">The FSB sound practices for responsible adoption of AI are a consultation report comprising twelve sound practices and are expressly not intended to establish an international standard.</t>
  </si>
  <si>
    <t xml:space="preserve">FSB consultation report, sound practice headings and the report's own statement of status.</t>
  </si>
  <si>
    <t xml:space="preserve">ST-12</t>
  </si>
  <si>
    <t xml:space="preserve">BCBS third-party principles</t>
  </si>
  <si>
    <t xml:space="preserve">The BCBS principles for the sound management of third-party risk comprise twelve principles and are published as BCBS d605.</t>
  </si>
  <si>
    <t xml:space="preserve">BIS publication d605, principle headings.</t>
  </si>
  <si>
    <t xml:space="preserve">Corrected from an initial reference to d588. See RT-08.</t>
  </si>
  <si>
    <t xml:space="preserve">ST-13</t>
  </si>
  <si>
    <t xml:space="preserve">CPS XXXX M40 / CPG XXXX</t>
  </si>
  <si>
    <t xml:space="preserve">Superannuation</t>
  </si>
  <si>
    <t xml:space="preserve">No comparator authority addresses model risk in superannuation.</t>
  </si>
  <si>
    <t xml:space="preserve">Scope statements of each comparator instrument. OSFI expressly excludes federally regulated pension plans.</t>
  </si>
  <si>
    <t xml:space="preserve">None required. Recorded as a policy design choice with no benchmark.</t>
  </si>
  <si>
    <t xml:space="preserve">ST-14</t>
  </si>
  <si>
    <t xml:space="preserve">CPS XXXX M45 / CPG XXXX</t>
  </si>
  <si>
    <t xml:space="preserve">Notification</t>
  </si>
  <si>
    <t xml:space="preserve">No comparator authority imposes a model-risk-specific supervisory notification deadline.</t>
  </si>
  <si>
    <t xml:space="preserve">Review of each comparator instrument. CPS 230 and CPS 234 provide the Australian notification architecture.</t>
  </si>
  <si>
    <t xml:space="preserve">A model-specific deadline was drafted and then removed as conflicting. See RT-09.</t>
  </si>
  <si>
    <t xml:space="preserve">ST-15</t>
  </si>
  <si>
    <t xml:space="preserve">CPG XXXX</t>
  </si>
  <si>
    <t xml:space="preserve">Community bank proportionality</t>
  </si>
  <si>
    <t xml:space="preserve">The OCC has confirmed that its guidance does not require community banks to perform annual model validation.</t>
  </si>
  <si>
    <t xml:space="preserve">OCC Bulletin 2025-26.</t>
  </si>
  <si>
    <t xml:space="preserve">None required. Informs the proportionality drafting rather than a requirement.</t>
  </si>
  <si>
    <t xml:space="preserve">ST-18</t>
  </si>
  <si>
    <t xml:space="preserve">CPS XXXX M05 / CPG XXXX</t>
  </si>
  <si>
    <t xml:space="preserve">De minimis exception</t>
  </si>
  <si>
    <t xml:space="preserve">A model of no material consequence attracts only identification, inventory, ownership, classification and reassessment.</t>
  </si>
  <si>
    <t xml:space="preserve">US interagency guidance 2026 §III states that where models are deemed immaterial, model risk management may consist of identifying those models and monitoring the conditions under which their use may become material. OSFI E-23 Principle 2.3 scales scope, scale and intensity to model risk while Principle 2.1 keeps all models within identification.</t>
  </si>
  <si>
    <t xml:space="preserve">The prohibited classes, the aggregate test and the anti-disaggregation limb are Australian drafting choices, not comparator requirements, and are labelled as a policy choice. See RT-50.</t>
  </si>
  <si>
    <t xml:space="preserve">ST-17</t>
  </si>
  <si>
    <t xml:space="preserve">Workbook / crosswalk</t>
  </si>
  <si>
    <t xml:space="preserve">BCBS and aggregate model risk</t>
  </si>
  <si>
    <t xml:space="preserve">The crosswalk originally recorded the BCBS position on aggregate model risk as 'not addressed'. Adversarial review suggested the Basel Framework's prudent valuation guidance (CAP50) and the Pillar 3 prudent valuation template may require a model risk valuation adjustment and its disclosure.</t>
  </si>
  <si>
    <t xml:space="preserve">Unverified</t>
  </si>
  <si>
    <t xml:space="preserve">Unverified — not independently confirmed</t>
  </si>
  <si>
    <t xml:space="preserve">The BIS Basel Framework chapter pages load their text client-side and could not be retrieved in this session; the chapter's existence and title are confirmed but its provisions were not read. Neither the original negative nor the suggested positive is asserted.</t>
  </si>
  <si>
    <t xml:space="preserve">The cell now records the lead and its unverified status instead of asserting a negative. See RT-49. This should be resolved from the primary chapter before consultation.</t>
  </si>
  <si>
    <t xml:space="preserve">ST-16</t>
  </si>
  <si>
    <t xml:space="preserve">Workbook</t>
  </si>
  <si>
    <t xml:space="preserve">Validation frequencies</t>
  </si>
  <si>
    <t xml:space="preserve">The validation frequencies shown by tier are illustrative drafting, not derived from any comparator instrument.</t>
  </si>
  <si>
    <t xml:space="preserve">No comparator prescribes frequencies on a cross-industry basis; the rescinded 2011 US guidance contained an at-least-annual periodic review expectation which the 2026 guidance does not carry forward.</t>
  </si>
  <si>
    <t xml:space="preserve">Labelled as illustrative in both the guide and the workbook. See RT-10.</t>
  </si>
  <si>
    <t xml:space="preserve">Red-team challenge and correction audit</t>
  </si>
  <si>
    <t xml:space="preserve">POLICY DEVELOPMENT DRAFT — NOT IN FORCE | Preserves the statement as first drafted, the challenge made against it, the correction applied and the evidence. Items confirmed on challenge are retained so the record shows what was tested, not only what changed.</t>
  </si>
  <si>
    <t xml:space="preserve">Initial or challenged statement</t>
  </si>
  <si>
    <t xml:space="preserve">Challenge</t>
  </si>
  <si>
    <t xml:space="preserve">Correction applied</t>
  </si>
  <si>
    <t xml:space="preserve">Effect on outputs</t>
  </si>
  <si>
    <t xml:space="preserve">Evidence</t>
  </si>
  <si>
    <t xml:space="preserve">Severity</t>
  </si>
  <si>
    <t xml:space="preserve">RT-01</t>
  </si>
  <si>
    <t xml:space="preserve">The package cited OCC Bulletin 2011-12 / Federal Reserve SR 11-7 as the current United States model risk guidance, and used it as the primary authority for thirty-three requirement citations.</t>
  </si>
  <si>
    <t xml:space="preserve">Is the 2011 guidance still current as at July 2026? Supervisory guidance is periodically revised and the drafter's knowledge may predate any revision.</t>
  </si>
  <si>
    <t xml:space="preserve">The 2011 guidance was rescinded and superseded on 17 April 2026 by interagency guidance issued as Federal Reserve SR 26-2, OCC Bulletin 2026-13 and FDIC FIL-15-2026. All citations were repointed to the 2026 guidance, the 2011 instrument was retained in the source register marked as rescinded for provenance, and the substantive divergences were assessed individually.</t>
  </si>
  <si>
    <t xml:space="preserve">Affected the source register, thirty-three requirement citations, sixteen guidance attribution lines and five scoring benchmarks.</t>
  </si>
  <si>
    <t xml:space="preserve">SR 26-2 cover letter; OCC Bulletin 2026-13 rescission list; FDIC FIL-15-2026; rescission watermark on the OCC copy of the 2011 attachment.</t>
  </si>
  <si>
    <t xml:space="preserve">Closed — correction incorporated</t>
  </si>
  <si>
    <t xml:space="preserve">RT-02</t>
  </si>
  <si>
    <t xml:space="preserve">CPS XXXX's model definition was presented as following the established three-part US formulation, implying current US support for a broad definition.</t>
  </si>
  <si>
    <t xml:space="preserve">Does the current US guidance still support a broad definition? If not, the standard is claiming alignment it does not have.</t>
  </si>
  <si>
    <t xml:space="preserve">The 2026 US guidance narrows the definition to a 'complex' quantitative method applying statistical, economic or financial theories and expressly excludes simple arithmetic such as spreadsheet calculations, deterministic rule-based processes, and generative and agentic AI. CPS XXXX retains the broad definition — deliberately, because the narrow one would exclude actuarial and unit pricing calculations central to the Australian cross-industry perimeter — and the divergence is now stated openly rather than concealed by a citation.</t>
  </si>
  <si>
    <t xml:space="preserve">M02 rewritten; its provenance changed from Extracted to Extracted + inferred; the benchmark authority for the definition domain moved from the US to the PRA and OSFI.</t>
  </si>
  <si>
    <t xml:space="preserve">RT-03</t>
  </si>
  <si>
    <t xml:space="preserve">Effective challenge was drafted as requiring 'competence, influence and incentive'.</t>
  </si>
  <si>
    <t xml:space="preserve">Is that the current formulation, or the rescinded one?</t>
  </si>
  <si>
    <t xml:space="preserve">That was the 2011 formulation. The 2026 guidance reformulates effective challenge around expertise to identify limitations, sufficient independence to maintain objectivity, and organisational standing and influence to effect change. M23 was redrafted to the current formulation; incentives are retained in the practice guide as a practical consideration rather than presented as part of the definition.</t>
  </si>
  <si>
    <t xml:space="preserve">M23 and the corresponding guidance paragraph rewritten.</t>
  </si>
  <si>
    <t xml:space="preserve">SR 26-2 §III; rescinded 2011 attachment §III for the superseded wording.</t>
  </si>
  <si>
    <t xml:space="preserve">RT-04</t>
  </si>
  <si>
    <t xml:space="preserve">Validation scope was drafted as 'conceptual soundness, ongoing monitoring including process verification and benchmarking, and outcomes analysis'.</t>
  </si>
  <si>
    <t xml:space="preserve">Are those the current component names and does benchmarking sit where the draft places it?</t>
  </si>
  <si>
    <t xml:space="preserve">The 2026 guidance names the components conceptual soundness, outcomes analysis and ongoing model monitoring, in that order, and locates benchmarking under conceptual soundness rather than ongoing monitoring. M22 and the guidance were realigned.</t>
  </si>
  <si>
    <t xml:space="preserve">M22 and two guidance paragraphs rewritten.</t>
  </si>
  <si>
    <t xml:space="preserve">SR 26-2 §V sub-headings.</t>
  </si>
  <si>
    <t xml:space="preserve">RT-05</t>
  </si>
  <si>
    <t xml:space="preserve">A predecessor document in this project described PRA SS1/23 Principle 5 as 'reporting'.</t>
  </si>
  <si>
    <t xml:space="preserve">Verify the five principle titles against the primary supervisory statement.</t>
  </si>
  <si>
    <t xml:space="preserve">Principle 5 is 'Model risk mitigants'. Reporting is embedded across the principles and is not a standalone principle. All five titles and all 23 sub-principle titles were transcribed verbatim from the primary text and carried into the principles register.</t>
  </si>
  <si>
    <t xml:space="preserve">Principles register, guidance attribution lines and the requirement-to-principle mapping.</t>
  </si>
  <si>
    <t xml:space="preserve">PRA SS1/23 primary text.</t>
  </si>
  <si>
    <t xml:space="preserve">RT-06</t>
  </si>
  <si>
    <t xml:space="preserve">A predecessor document described OSFI E-23 as having three outcomes.</t>
  </si>
  <si>
    <t xml:space="preserve">Is that the whole structure? A three-unit framework would be unusually sparse for a lifecycle guideline.</t>
  </si>
  <si>
    <t xml:space="preserve">E-23 (2027) is structured as three outcomes AND twelve principles numbered 1.1 to 3.6. Treating it as three citable units under-represents it by twelve. The full structure is now reproduced in the principles register and used for attribution.</t>
  </si>
  <si>
    <t xml:space="preserve">Principles register, crosswalk and requirement-to-principle mapping.</t>
  </si>
  <si>
    <t xml:space="preserve">OSFI E-23 (2027) sections A.5, B, C and D.</t>
  </si>
  <si>
    <t xml:space="preserve">RT-07</t>
  </si>
  <si>
    <t xml:space="preserve">The ECB guide to internal models was cited at its February 2024 release.</t>
  </si>
  <si>
    <t xml:space="preserve">Has the guide been revised since?</t>
  </si>
  <si>
    <t xml:space="preserve">The current release is June 2026. Its overarching principles chapter adds a section on implementation of a model risk management framework and a section on the use of machine learning techniques in internal models — both directly relevant to this standard and absent from the earlier release. The source register and the principles register were updated.</t>
  </si>
  <si>
    <t xml:space="preserve">Source register, principles register and two crosswalk cells.</t>
  </si>
  <si>
    <t xml:space="preserve">RT-08</t>
  </si>
  <si>
    <t xml:space="preserve">The BCBS third-party risk principles were cited as publication d588.</t>
  </si>
  <si>
    <t xml:space="preserve">Confirm the publication number and principle count.</t>
  </si>
  <si>
    <t xml:space="preserve">The principles are published as d605 and comprise twelve principles. The source register URL and the principle count were corrected, and the source moved from unverified to verified against the primary publication.</t>
  </si>
  <si>
    <t xml:space="preserve">Source register and principles register.</t>
  </si>
  <si>
    <t xml:space="preserve">BIS publication d605.</t>
  </si>
  <si>
    <t xml:space="preserve">RT-09</t>
  </si>
  <si>
    <t xml:space="preserve">An early draft proposed a model-risk-specific supervisory notification deadline.</t>
  </si>
  <si>
    <t xml:space="preserve">Is such a deadline supported by any comparator, and would it conflict with existing Australian notification architecture?</t>
  </si>
  <si>
    <t xml:space="preserve">No comparator imposes a model-specific notification deadline, and a new one risked conflicting with the materiality criteria and timeframes in CPS 230 and CPS 234. M45 now cross-references the existing architecture and expects early engagement on material model weakness instead.</t>
  </si>
  <si>
    <t xml:space="preserve">M45 redrafted; the notification domain scored against the existing architecture rather than a new obligation.</t>
  </si>
  <si>
    <t xml:space="preserve">CPS 230; CPS 234; comparator review.</t>
  </si>
  <si>
    <t xml:space="preserve">RT-10</t>
  </si>
  <si>
    <t xml:space="preserve">Validation frequencies by tier were presented in the practice guide without qualification.</t>
  </si>
  <si>
    <t xml:space="preserve">Are these frequencies drawn from any comparator instrument?</t>
  </si>
  <si>
    <t xml:space="preserve">They are not. The rescinded 2011 US guidance contained an at-least-annual periodic review expectation which the 2026 guidance does not carry forward, and the OCC has since confirmed that community banks are not required to validate annually. The table is now labelled as illustrative drafting and identified as a policy design choice.</t>
  </si>
  <si>
    <t xml:space="preserve">Practice guide validation table caption and verification annotation; statement ledger entry ST-16.</t>
  </si>
  <si>
    <t xml:space="preserve">OCC Bulletin 2025-26; SR 26-2 §V; rescinded 2011 attachment §V.</t>
  </si>
  <si>
    <t xml:space="preserve">RT-11</t>
  </si>
  <si>
    <t xml:space="preserve">An early draft required all models to be fully explainable.</t>
  </si>
  <si>
    <t xml:space="preserve">Is an absolute explainability requirement achievable, and is it supported?</t>
  </si>
  <si>
    <t xml:space="preserve">It is neither. Comparator authorities consistently frame explainability as fit for purpose and permit compensating controls where full explainability is not achievable. The guidance now requires explainability to be assessed against what the entity needs to do with the model, and requires outcome-based controls to be intensified where explainability is limited.</t>
  </si>
  <si>
    <t xml:space="preserve">Chapter 12 of the practice guide.</t>
  </si>
  <si>
    <t xml:space="preserve">Comparator review; ECB guide section on machine learning techniques.</t>
  </si>
  <si>
    <t xml:space="preserve">RT-12</t>
  </si>
  <si>
    <t xml:space="preserve">An early draft required annual independent validation of every model.</t>
  </si>
  <si>
    <t xml:space="preserve">Is that proportionate, and is it supported?</t>
  </si>
  <si>
    <t xml:space="preserve">No comparator requires it universally, and the OCC has expressly confirmed that community banks need not validate annually. Validation frequency is now set by tier, with the highest tier at least annually and lower tiers on a risk-based cycle.</t>
  </si>
  <si>
    <t xml:space="preserve">M21 and M25; the validation intensity table in the practice guide.</t>
  </si>
  <si>
    <t xml:space="preserve">OCC Bulletin 2025-26; PRA SS1/23 Principle 4.5; OSFI E-23 Principle 2.3.</t>
  </si>
  <si>
    <t xml:space="preserve">RT-13</t>
  </si>
  <si>
    <t xml:space="preserve">An early draft required contractual access to vendor source code and training data for third-party models.</t>
  </si>
  <si>
    <t xml:space="preserve">Is that achievable, and is it required by any comparator?</t>
  </si>
  <si>
    <t xml:space="preserve">It is frequently impracticable and raises intellectual property and security issues. No comparator requires it; the 2026 US guidance expressly acknowledges that proprietary components may not be disclosed while maintaining that the principles still apply. M32 and M33 now require sufficient information or compensating controls, expressed as an outcome.</t>
  </si>
  <si>
    <t xml:space="preserve">M32 and M33; chapter 11 of the practice guide.</t>
  </si>
  <si>
    <t xml:space="preserve">SR 26-2 §VII; PRA SS1/23 Principle 2.6; BCBS d605.</t>
  </si>
  <si>
    <t xml:space="preserve">RT-14</t>
  </si>
  <si>
    <t xml:space="preserve">The scoring initially recorded the United States as the benchmark authority in seven domains, on the strength of the 2011 guidance.</t>
  </si>
  <si>
    <t xml:space="preserve">Does the 2026 guidance still set the benchmark in those domains?</t>
  </si>
  <si>
    <t xml:space="preserve">In several it does not. The 2026 text reduces documentation to a permissive statement, describes the inventory as common industry practice rather than an expectation, de-emphasises organisational independence in validation, and permits use before validation on urgent business need. The benchmark moved to the PRA, OSFI or ECB in five domains. The US remains the benchmark for effective challenge and aggregate model risk, where its articulation is still the strongest.</t>
  </si>
  <si>
    <t xml:space="preserve">Five benchmark authorities changed in the gap assessment, changing the priority ordering.</t>
  </si>
  <si>
    <t xml:space="preserve">SR 26-2 §§V and VI compared against PRA SS1/23, OSFI E-23 (2027) and the ECB guide.</t>
  </si>
  <si>
    <t xml:space="preserve">RT-15</t>
  </si>
  <si>
    <t xml:space="preserve">The draft applies a single cross-industry standard to ADIs, insurers and RSE licensees.</t>
  </si>
  <si>
    <t xml:space="preserve">Can one instrument do that, and does it create gaps against the Appointed Actuary framework and the capital standards?</t>
  </si>
  <si>
    <t xml:space="preserve">The question cannot be resolved by drafting alone. The standard now expressly preserves the capital standards where more specific, requires insurers to map which validation elements the actuarial control cycle discharges, and flags enabling authority, sectoral application and instrument numbering for legal settlement in Annex F.</t>
  </si>
  <si>
    <t xml:space="preserve">M36, M39, Annex F; seven requirements carry a legal flag.</t>
  </si>
  <si>
    <t xml:space="preserve">APS 113; CPS 320; SPS 530; comparator review.</t>
  </si>
  <si>
    <t xml:space="preserve">Open — referred for legal settlement</t>
  </si>
  <si>
    <t xml:space="preserve">RT-16</t>
  </si>
  <si>
    <t xml:space="preserve">The draft creates a boundary between this standard and a separate AI risk instrument.</t>
  </si>
  <si>
    <t xml:space="preserve">Does any comparator operate parallel model risk and AI instruments, and could a system fall between them?</t>
  </si>
  <si>
    <t xml:space="preserve">No comparator does. OSFI deliberately brought AI within a single model risk guideline, and the 2026 US guidance excludes generative and agentic AI from model risk scope without putting anything in its place. The boundary rule in M35 is therefore an Australian design choice, is labelled as one, and requires a single register recording which regime applies to each AI system so that the boundary is a documented determination.</t>
  </si>
  <si>
    <t xml:space="preserve">M35 marked as a policy choice and carrying a legal flag; chapter 12 of the practice guide.</t>
  </si>
  <si>
    <t xml:space="preserve">OSFI E-23 (2027) scope; SR 26-2 footnote 3.</t>
  </si>
  <si>
    <t xml:space="preserve">Open — referred for consultation</t>
  </si>
  <si>
    <t xml:space="preserve">RT-17</t>
  </si>
  <si>
    <t xml:space="preserve">The claim that no comparator addresses superannuation model risk.</t>
  </si>
  <si>
    <t xml:space="preserve">Verify rather than assume — an unverified negative is as unsafe as an unverified positive.</t>
  </si>
  <si>
    <t xml:space="preserve">Confirmed. OSFI expressly excludes federally regulated pension plans from E-23; the PRA framework covers banks with internal model approval; the US guidance covers banking organisations. The superannuation domain is scored with no benchmark and the requirement is labelled a policy design choice.</t>
  </si>
  <si>
    <t xml:space="preserve">M40; the superannuation domain carries no benchmark authority in the gap assessment.</t>
  </si>
  <si>
    <t xml:space="preserve">Scope statements of each comparator instrument.</t>
  </si>
  <si>
    <t xml:space="preserve">Closed — verified, no correction required</t>
  </si>
  <si>
    <t xml:space="preserve">RT-19</t>
  </si>
  <si>
    <t xml:space="preserve">APRA and several other source URLs were recorded from expected URL patterns rather than from a successful fetch.</t>
  </si>
  <si>
    <t xml:space="preserve">Do the registered URLs actually resolve? A source register whose links are dead is not an evidence base.</t>
  </si>
  <si>
    <t xml:space="preserve">Eleven of thirty-four URLs returned HTTP 404 on the first automated check — all nine APRA entries plus the ECB risk data aggregation guide and the MAS AI model risk information paper. Correct URLs were located on each official domain and substituted. All thirty-four now resolve, and the affected sources moved from secondary to primary verification.</t>
  </si>
  <si>
    <t xml:space="preserve">Source register URLs and verification labels; thirty-three of thirty-four sources are now verified from primary text.</t>
  </si>
  <si>
    <t xml:space="preserve">Automated fetch of every registered URL; re-run at any time through the check_source_urls tool on the accompanying MCP server.</t>
  </si>
  <si>
    <t xml:space="preserve">RT-20</t>
  </si>
  <si>
    <t xml:space="preserve">BCBS stress testing principles and third-party principles were described as international principles without qualification.</t>
  </si>
  <si>
    <t xml:space="preserve">Does the BIS classify these as Standards, and do they carry their own status disclaimers?</t>
  </si>
  <si>
    <t xml:space="preserve">Neither is a Standard. The BIS classifies both as Guidelines, and the stress testing principles carry an express statement that they do not constitute Standards, for which the Committee expects full implementation. Both entries were requalified.</t>
  </si>
  <si>
    <t xml:space="preserve">Legal status matrix and source register entries for the two BCBS instruments.</t>
  </si>
  <si>
    <t xml:space="preserve">BCBS d450 introduction; BIS publication classification for d450 and d605.</t>
  </si>
  <si>
    <t xml:space="preserve">RT-21</t>
  </si>
  <si>
    <t xml:space="preserve">The superseded OSFI E-23 (2017) was described as 'superseded by the 2027 guideline with effect from 1 May 2027'.</t>
  </si>
  <si>
    <t xml:space="preserve">Is there an express supersession clause, or is that an inference from the guidance library?</t>
  </si>
  <si>
    <t xml:space="preserve">No express supersession clause was located in either the 2027 guideline or its covering letter. The entry now states the relationship as OSFI presents it in its guidance library rather than quoting a provision that does not exist.</t>
  </si>
  <si>
    <t xml:space="preserve">Source register entry for the 2017 guideline.</t>
  </si>
  <si>
    <t xml:space="preserve">OSFI E-23 (2027) body and covering letter; OSFI guidance library.</t>
  </si>
  <si>
    <t xml:space="preserve">RT-22</t>
  </si>
  <si>
    <t xml:space="preserve">CPS 230 was recorded as commencing 1 July 2025.</t>
  </si>
  <si>
    <t xml:space="preserve">Is that the current instrument? A superseded commencement date would misstate the Australian baseline the whole assessment is measured against.</t>
  </si>
  <si>
    <t xml:space="preserve">The current CPS 230 determination was made on 23 April 2026 and commences 1 July 2026, revoking and replacing the 2023 determination under which CPS 230 first commenced on 1 July 2025. The source register now records both.</t>
  </si>
  <si>
    <t xml:space="preserve">Source register and legal status matrix entry for CPS 230.</t>
  </si>
  <si>
    <t xml:space="preserve">APRA CPS 230 determination, 23 April 2026.</t>
  </si>
  <si>
    <t xml:space="preserve">RT-23</t>
  </si>
  <si>
    <t xml:space="preserve">The APRA entry in the principles register listed instruments by name only, implying a loose mapping.</t>
  </si>
  <si>
    <t xml:space="preserve">Can APRA's distributed model governance obligations be located precisely, or is the claim that they are scattered itself unevidenced?</t>
  </si>
  <si>
    <t xml:space="preserve">They can. Paragraph-level anchors were read from the primary instruments — including APS 113 paragraph 27 on independent review, Attachment D paragraphs 103 to 109 on validation of internal estimates and paragraphs 67 to 68 on the use test, APG 113 Chapter 7, CPS 320 paragraphs 22 to 40, and SPS 530 paragraphs 30 to 35. The entry now carries 22 paragraph-level references, and independent verification confirmed that APRA has no model risk prudential standard and no enumerated model risk principles.</t>
  </si>
  <si>
    <t xml:space="preserve">Principles register; strengthens the evidential basis for the central premise of the package.</t>
  </si>
  <si>
    <t xml:space="preserve">APS 113, APG 113, CPS 220, CPS 230, CPS 320 and SPS 530 primary text.</t>
  </si>
  <si>
    <t xml:space="preserve">Closed — verified, register strengthened</t>
  </si>
  <si>
    <t xml:space="preserve">RT-24</t>
  </si>
  <si>
    <t xml:space="preserve">The Australian instruments the standard sits alongside were recorded as 'current at the as-of date' without commencement dates.</t>
  </si>
  <si>
    <t xml:space="preserve">Which version of each is actually in force, and has any been remade recently? The Australian baseline is what the whole assessment is measured against, so a stale version would distort every score.</t>
  </si>
  <si>
    <t xml:space="preserve">Three of the nine had been remade in 2026 and the register did not say so. APS 113 — the instrument carrying Australia's strongest existing model governance requirements — was released in final form on 4 June 2026 and commenced 30 June 2026. CPS 320 was determined on 29 April 2026 and commenced 1 July 2026. CPS 230's current determination was made on 23 April 2026 and commences 1 July 2026. Commencement dates were added for every APRA instrument, and SPS 515 is marked as not separately verified rather than asserted.</t>
  </si>
  <si>
    <t xml:space="preserve">Source register and legal status matrix; the gap assessment's Australian baseline is now anchored to identified versions rather than to 'current'.</t>
  </si>
  <si>
    <t xml:space="preserve">APRA standards pages and determinations for each instrument.</t>
  </si>
  <si>
    <t xml:space="preserve">RT-25</t>
  </si>
  <si>
    <t xml:space="preserve">CPS 320 paragraph references were taken from the instrument's structure.</t>
  </si>
  <si>
    <t xml:space="preserve">Was the in-force text actually retrieved, or is the structure inferred from a landing page?</t>
  </si>
  <si>
    <t xml:space="preserve">The 1 July 2026 in-force PDF could not be downloaded from apra.gov.au — the link is rendered client-side and the legislation register record is a JavaScript application. Title, commencement, status, instrument reference, scope and section headings were confirmed from the APRA standards page; paragraph-level references come from the July 2019 text. The register now says so, and flags that they should be re-checked against the current version.</t>
  </si>
  <si>
    <t xml:space="preserve">Source register entry for CPS 320; the paragraph anchors in the principles register carry the same caveat.</t>
  </si>
  <si>
    <t xml:space="preserve">APRA standards page for CPS 320; July 2019 primary PDF.</t>
  </si>
  <si>
    <t xml:space="preserve">Closed — limitation disclosed rather than concealed</t>
  </si>
  <si>
    <t xml:space="preserve">RT-26</t>
  </si>
  <si>
    <t xml:space="preserve">The standard opened at 'Objectives and key requirements' with no Authority, Application, Commencement or Adjustments and exclusions paragraphs.</t>
  </si>
  <si>
    <t xml:space="preserve">Every APRA prudential standard carries this front matter. Without an adjustments and exclusions paragraph there is no lawful route for APRA to vary a requirement for an individual entity, making the instrument more rigid than every standard it sits alongside. Without a transitional paragraph, requirements expressed as a bar on use would on commencement prohibit continued use of models entities already rely on.</t>
  </si>
  <si>
    <t xml:space="preserve">Paragraphs A1 to A6 were added: authority, application, commencement, transitional arrangements for models already in use, adjustments and exclusions, and interpretation. Each carries a note identifying what requires legal settlement.</t>
  </si>
  <si>
    <t xml:space="preserve">Six new mandatory paragraphs; the standard is now structurally complete as an instrument.</t>
  </si>
  <si>
    <t xml:space="preserve">CPS 230 paragraphs 1 to 11 as the structural precedent.</t>
  </si>
  <si>
    <t xml:space="preserve">RT-27</t>
  </si>
  <si>
    <t xml:space="preserve">M04 required an entity to document and approve 'any exception to or reduction of the controls otherwise required' by the standard.</t>
  </si>
  <si>
    <t xml:space="preserve">The controls otherwise required are the mandatory paragraphs. As drafted, a proportionality clause purported to let an entity except itself from the instrument's own requirements at its own approval authority.</t>
  </si>
  <si>
    <t xml:space="preserve">M04 was split in substance: it now requires the entity to demonstrate that control intensity reflects the model's tier and that equivalent models are treated consistently, and confines the exception machinery to departures from the entity's own policies and standards. The guidance states plainly that only APRA may adjust or exclude a requirement, under A5.</t>
  </si>
  <si>
    <t xml:space="preserve">M04 redrafted; its guidance rewritten; the adjustment power now sits in A5 where it belongs.</t>
  </si>
  <si>
    <t xml:space="preserve">Internal analysis of the interaction between M04 and the mandatory paragraphs.</t>
  </si>
  <si>
    <t xml:space="preserve">RT-28</t>
  </si>
  <si>
    <t xml:space="preserve">M22 required validation to address outcomes analysis comparing model outputs with corresponding actual outcomes, without qualification.</t>
  </si>
  <si>
    <t xml:space="preserve">For several model classes the standard expressly brings into scope — stress testing, scenario analysis, capital planning and forward-looking climate models — no corresponding actual outcome exists. The requirement was impossible to satisfy for them.</t>
  </si>
  <si>
    <t xml:space="preserve">M22 now requires outcomes analysis to the extent outcomes are observable and sufficient for the purpose, and requires alternative evidence of performance — benchmarking, sensitivity analysis and assessment of assumptions — where they are not.</t>
  </si>
  <si>
    <t xml:space="preserve">M22 redrafted; the validation intensity table in the guide realigned.</t>
  </si>
  <si>
    <t xml:space="preserve">M41 scope; BCBS stress testing principles 7 and 8.</t>
  </si>
  <si>
    <t xml:space="preserve">RT-29</t>
  </si>
  <si>
    <t xml:space="preserve">M21 barred use of a model for a material purpose until independent validation was complete, with no exception path.</t>
  </si>
  <si>
    <t xml:space="preserve">The current US guidance expressly contemplates use before validation on urgent business need with compensating controls. An absolute bar with no exception and no transition would on commencement prohibit continued use of every insufficiently validated model in the industry.</t>
  </si>
  <si>
    <t xml:space="preserve">M21 now permits use before validation completes where there is an urgent business need, subject to approval at an authority commensurate with tier, compensating controls, informing users of the limitation and completing validation within a defined period. Paragraph A4 provides the transition for models already in use.</t>
  </si>
  <si>
    <t xml:space="preserve">M21 redrafted; A4 added.</t>
  </si>
  <si>
    <t xml:space="preserve">US interagency guidance 2026 §V.</t>
  </si>
  <si>
    <t xml:space="preserve">RT-30</t>
  </si>
  <si>
    <t xml:space="preserve">M42 required every APRA-regulated entity to consider aggregate model risk in its internal capital assessment.</t>
  </si>
  <si>
    <t xml:space="preserve">RSE licensees have no internal capital assessment. The requirement was inapplicable to an entire regulated industry the standard purports to cover.</t>
  </si>
  <si>
    <t xml:space="preserve">M42 now refers to the internal capital adequacy assessment or, for an RSE licensee, to determining the operational risk financial requirement target amount.</t>
  </si>
  <si>
    <t xml:space="preserve">M42 redrafted sector-neutrally.</t>
  </si>
  <si>
    <t xml:space="preserve">Superannuation prudential framework; SPS 114 operational risk financial requirement.</t>
  </si>
  <si>
    <t xml:space="preserve">RT-31</t>
  </si>
  <si>
    <t xml:space="preserve">M14 required a complete, accurate and current inventory in absolute terms; M32's compensating-control escape reached only the information limb; M33 had no transition for contracts already on foot; and M39 left the Appointed Actuary conflict to the guide.</t>
  </si>
  <si>
    <t xml:space="preserve">Absolute completeness is not demonstrable and not testable. A hosted vendor model cannot be subjected to the entity's own implementation controls. Existing contracts cannot be reopened on commencement. And for most insurers the Appointed Actuary sets the assumptions, so M09 and M21 would disqualify the very review CPS 320 requires.</t>
  </si>
  <si>
    <t xml:space="preserve">M14 now requires the inventory plus processes designed to ensure completeness. M32's escape extends to any obligation the entity cannot itself discharge for a third-party model, with a record of which are met that way. M33 applies to existing arrangements from the earlier of renewal, material variation or the end of the transition period. M39 resolves the actuarial interaction in the standard: CPS 320 review satisfies independent validation to the extent the reviewer did not develop the model or set its assumptions.</t>
  </si>
  <si>
    <t xml:space="preserve">Four requirements redrafted.</t>
  </si>
  <si>
    <t xml:space="preserve">CPS 230 transitional precedent for service provider arrangements; CPS 320.</t>
  </si>
  <si>
    <t xml:space="preserve">RT-32</t>
  </si>
  <si>
    <t xml:space="preserve">The practice guide's validation intensity table prescribed 'at least annually' for the highest tier and 'every two to three years' for the second, while its own caption called the frequencies illustrative.</t>
  </si>
  <si>
    <t xml:space="preserve">A table that states an interval will be read as the expectation whatever the caption says. No comparator prescribes cross-industry validation frequencies, and the OCC has expressly confirmed that its guidance does not require annual validation.</t>
  </si>
  <si>
    <t xml:space="preserve">The frequency cells now state the drivers rather than intervals, and the caption and verification note explain why no interval is given.</t>
  </si>
  <si>
    <t xml:space="preserve">Chapter 8 of the practice guide.</t>
  </si>
  <si>
    <t xml:space="preserve">OCC Bulletin 2025-26; US interagency guidance 2026 §V; PRA SS1/23 Principle 4.5.</t>
  </si>
  <si>
    <t xml:space="preserve">RT-33</t>
  </si>
  <si>
    <t xml:space="preserve">M45 created a notification obligation with no timeframe and no threshold beyond 'material', while the guidance beneath it told entities to use CPS 230 and CPS 234 timeframes.</t>
  </si>
  <si>
    <t xml:space="preserve">The requirement and its guidance said different things, and the requirement as drafted was not testable.</t>
  </si>
  <si>
    <t xml:space="preserve">M45 now states the timing expectation on the face of the requirement and ties it to the CPS 230 and CPS 234 timeframes where the event falls within those standards, resolving the inconsistency without creating a competing deadline.</t>
  </si>
  <si>
    <t xml:space="preserve">M45 redrafted.</t>
  </si>
  <si>
    <t xml:space="preserve">CPS 230; CPS 234.</t>
  </si>
  <si>
    <t xml:space="preserve">RT-34</t>
  </si>
  <si>
    <t xml:space="preserve">M03 identified non-model quantitative tools by example only — spreadsheets, rules engines, allocation keys — with no stated criterion.</t>
  </si>
  <si>
    <t xml:space="preserve">Examples cannot draw a perimeter. A complex spreadsheet running a regression is a model; a complex spreadsheet applying documented arithmetic is not. The examples invited the wrong reading.</t>
  </si>
  <si>
    <t xml:space="preserve">M03 now states the criterion on the face of the requirement: a tool falls outside the model definition only where its output is fully determined by its inputs and documented rules, without estimation, statistical inference or an embedded assumption about an uncertain quantity.</t>
  </si>
  <si>
    <t xml:space="preserve">M03 redrafted.</t>
  </si>
  <si>
    <t xml:space="preserve">PRA SS1/23 Principle 1.1; US interagency guidance 2026 §II exclusions.</t>
  </si>
  <si>
    <t xml:space="preserve">RT-35</t>
  </si>
  <si>
    <t xml:space="preserve">Annex A defined effective challenge as competence, standing and incentives, and defined a model with a three-component sentence that M02 does not contain.</t>
  </si>
  <si>
    <t xml:space="preserve">The Annex A definitions are operative. Leaving the rescinded 2011 formulation there meant the standard defined its own central concept two different ways in two places, and the definition that would be applied is the one in the Annex.</t>
  </si>
  <si>
    <t xml:space="preserve">The Annex A definition of effective challenge now matches M23 word for word. The three-component sentence was removed from the Annex A definition of a model, so it matches M02; the description survives in the practice guide where it is explanatory.</t>
  </si>
  <si>
    <t xml:space="preserve">Annex A of the standard; the glossary sheet.</t>
  </si>
  <si>
    <t xml:space="preserve">US interagency guidance 2026 §III; M23 and M02 as drafted.</t>
  </si>
  <si>
    <t xml:space="preserve">RT-36</t>
  </si>
  <si>
    <t xml:space="preserve">Aggregate model risk and board reporting were attributed to PRA SS1/23 Principle 5 in four places.</t>
  </si>
  <si>
    <t xml:space="preserve">Principle 5 is 'Model risk mitigants' — post-model adjustments, restrictions on model use, and exceptions and escalations. It says nothing about aggregate model risk or board reporting, which sit under Principle 2.1.</t>
  </si>
  <si>
    <t xml:space="preserve">M13 and M42 now cite Principle 2.1. M42's rationale was rewritten to lead with the 2026 US guidance, which does expressly call for model risk to be assessed individually and in aggregate reflecting common assumptions, data and methodologies.</t>
  </si>
  <si>
    <t xml:space="preserve">M13 and M42 principle mappings and M42's rationale.</t>
  </si>
  <si>
    <t xml:space="preserve">PRA SS1/23 Principle 5 and Principle 2.1 primary text; US interagency guidance 2026 §III.</t>
  </si>
  <si>
    <t xml:space="preserve">RT-37</t>
  </si>
  <si>
    <t xml:space="preserve">M39 cited GPS 320 and LPS 320; M36 cited a Basel Framework identifier that the alias map silently resolved to BCBS 239.</t>
  </si>
  <si>
    <t xml:space="preserve">GPS 320 and LPS 320 were replaced by CPS 320 in 2019 and no longer exist. BCBS 239 concerns risk data aggregation and says nothing about internal model approval or the use test. The integrity check passed because it treated aliases as registered sources, so three citations appeared in the requirements register that had no entry in the source register.</t>
  </si>
  <si>
    <t xml:space="preserve">All three citations were removed and the alias map was deleted entirely. Every source ID cited by a requirement now resolves to a registered entry, so nothing can be cited that does not appear in Annex E. The integrity check was tightened to match.</t>
  </si>
  <si>
    <t xml:space="preserve">M36 and M39 sources; SOURCE_ALIASES removed; verify_package strengthened.</t>
  </si>
  <si>
    <t xml:space="preserve">APRA instrument history for GPS/LPS 320; BCBS 239 subject matter.</t>
  </si>
  <si>
    <t xml:space="preserve">RT-38</t>
  </si>
  <si>
    <t xml:space="preserve">The scoring rubric defined 5 and 4 as 'addressed in a binding instrument', while 25 of the 33 benchmarks were set by supervisory guidance that is not binding anywhere.</t>
  </si>
  <si>
    <t xml:space="preserve">The rubric contradicted its own application. Read literally, no comparator could score above 3 in most domains, which would have inverted every gap in the assessment.</t>
  </si>
  <si>
    <t xml:space="preserve">The rubric now scores the quality and specificity of the expectation irrespective of instrument type, and the enforceability dimension is stated to apply to Australia only — which is what the assessment was actually measuring.</t>
  </si>
  <si>
    <t xml:space="preserve">Scoring methodology sheet and the rubric shown in the workbook.</t>
  </si>
  <si>
    <t xml:space="preserve">Internal consistency analysis of the rubric against the benchmark assignments.</t>
  </si>
  <si>
    <t xml:space="preserve">RT-39</t>
  </si>
  <si>
    <t xml:space="preserve">The superannuation domain was scored with a benchmark of 0 because no comparator addresses superannuation model risk.</t>
  </si>
  <si>
    <t xml:space="preserve">A zero benchmark floors the gap at zero, which returned a priority of 'Low' — published as meaning 'broadly comparable to international practice'. The domain with no international coverage at all was therefore reported as the least urgent.</t>
  </si>
  <si>
    <t xml:space="preserve">The domain is now benchmarked at 5 against the standard's own cross-industry objective, with the benchmark authority recorded as 'No comparator'. It now scores 4.38 weighted and ranks High, which reflects the position.</t>
  </si>
  <si>
    <t xml:space="preserve">Gap assessment and areas for improvement ranking.</t>
  </si>
  <si>
    <t xml:space="preserve">Scope statements of each comparator; the methodology's own treatment of absent benchmarks.</t>
  </si>
  <si>
    <t xml:space="preserve">RT-40</t>
  </si>
  <si>
    <t xml:space="preserve">M09, M10 and M12 — capability and independence, the integrated framework, and policies and standards — were cited by no scoring domain.</t>
  </si>
  <si>
    <t xml:space="preserve">The framework obligation itself was unscored, so the assessment measured the parts of model risk management without measuring whether there is a framework at all.</t>
  </si>
  <si>
    <t xml:space="preserve">A 'MRM framework, policies and capability' domain was added covering all three, benchmarked against PRA Principle 2 and OSFI Principle 3.1. Every requirement is now covered by at least one domain.</t>
  </si>
  <si>
    <t xml:space="preserve">Gap assessment gains a 34th domain; the executive summary counts update automatically.</t>
  </si>
  <si>
    <t xml:space="preserve">Coverage check of scoring domains against the requirement register.</t>
  </si>
  <si>
    <t xml:space="preserve">RT-41</t>
  </si>
  <si>
    <t xml:space="preserve">Annex C directed the highest tier where a model influences 'an employment outcome', and M01 extended enterprise scope to human resources models. M34 required entities to address the 'potential for biased outcomes'.</t>
  </si>
  <si>
    <t xml:space="preserve">APRA is a prudential regulator. Employment decisions and unbounded bias obligations sit with other regulators and other legislation, and asserting them here would invite a scope objection that would distract from the prudential case.</t>
  </si>
  <si>
    <t xml:space="preserve">Employment outcomes were removed from the Annex C indicator and human resources from M01's guidance. M34's limb was recast in model-performance terms: systematic differences in model performance across segments of the population to which the model is applied.</t>
  </si>
  <si>
    <t xml:space="preserve">Annex C, M01 guidance and M34.</t>
  </si>
  <si>
    <t xml:space="preserve">Prudential remit analysis.</t>
  </si>
  <si>
    <t xml:space="preserve">RT-42</t>
  </si>
  <si>
    <t xml:space="preserve">M45 imposed a standing duty to provide APRA with information 'on request', open as to scope, form and requester. M35 required entities to apply AI risk management arrangements that nothing obliged them to have. M42's RSE limb referred to the operational risk financial requirement without citing the standard that governs it.</t>
  </si>
  <si>
    <t xml:space="preserve">An open-ended information duty with no stated legal form is not how the other cross-industry standards are drafted. M35 assumed an instrument that does not exist. M42 pointed at a determination made under an uncited standard.</t>
  </si>
  <si>
    <t xml:space="preserve">M45 now applies where APRA requires information in writing, and its notification trigger covers amounts credited to or debited from customer and beneficiary accounts. M35 gains a limb for entities with no separate AI arrangements. M42 cites SPS 114, which is now registered as a source. An interpretation clause was added requiring every APRA power under the standard to be exercised in writing.</t>
  </si>
  <si>
    <t xml:space="preserve">M35, M42, M45, the Interpretation section and the source register.</t>
  </si>
  <si>
    <t xml:space="preserve">CPS 230 drafting form for information powers; SPS 114.</t>
  </si>
  <si>
    <t xml:space="preserve">RT-43</t>
  </si>
  <si>
    <t xml:space="preserve">The FSB sound practices supplied twelve entries of the principles register, were cited in eight crosswalk cells and were the subject of a statement-ledger entry, but had no entry in the source register.</t>
  </si>
  <si>
    <t xml:space="preserve">A source relied on that heavily with no registered entry has no recorded status, date or URL, and a reader cannot check what it is or whether it binds anything.</t>
  </si>
  <si>
    <t xml:space="preserve">Registered as FSB-SP-2026 with its consultation status recorded — the FSB states expressly that the practices are not intended to establish an international standard. The integrity check now covers sources cited by the principles register and the crosswalk, not only those cited by requirements.</t>
  </si>
  <si>
    <t xml:space="preserve">Source register, legal status matrix and the integrity check.</t>
  </si>
  <si>
    <t xml:space="preserve">FSB consultation report.</t>
  </si>
  <si>
    <t xml:space="preserve">RT-44</t>
  </si>
  <si>
    <t xml:space="preserve">Five source attribution lines in the practice guide used a status code, '[B where implemented]', that appears in neither the guide's legend nor Annex D.</t>
  </si>
  <si>
    <t xml:space="preserve">A reader cannot interpret a status code that is not defined, and the code implied a degree of bindingness that BIS guidelines do not have.</t>
  </si>
  <si>
    <t xml:space="preserve">The four BCBS instruments now carry [G], with the domestic-implementation qualification carried in the prose of the attribution line. BCBS 239's register status was corrected from 'International standard' to BIS-classified Guidelines.</t>
  </si>
  <si>
    <t xml:space="preserve">Practice guide attribution lines; BCBS 239 source register entry.</t>
  </si>
  <si>
    <t xml:space="preserve">BIS publication classification for bcbs239, d450, d516 and d605.</t>
  </si>
  <si>
    <t xml:space="preserve">RT-45</t>
  </si>
  <si>
    <t xml:space="preserve">Annex B opened 'An APRA-regulated entity's model inventory must record at least the following', in the guidance style.</t>
  </si>
  <si>
    <t xml:space="preserve">The build audit forbids bold text in a guidance paragraph, so the only statement making Annex B mandatory was rendered as explanatory text. On the standard's own reading rule, Annex B imposed nothing.</t>
  </si>
  <si>
    <t xml:space="preserve">M14 now requires the inventory to record at least the fields set out in Annex B, so the obligation sits in a bold mandatory paragraph. Annex B's opening line was reworded to point back at M14.</t>
  </si>
  <si>
    <t xml:space="preserve">M14 and Annex B.</t>
  </si>
  <si>
    <t xml:space="preserve">The standard's own interpretation rule that only bold paragraphs are mandatory.</t>
  </si>
  <si>
    <t xml:space="preserve">RT-46</t>
  </si>
  <si>
    <t xml:space="preserve">Every governance obligation was expressed in terms of 'the Board'; private health insurance appeared nowhere despite being in the enabling authority; A4's transition reached only model-level obligations; and Annex A's bespoke definitions were not tied to CPS 001.</t>
  </si>
  <si>
    <t xml:space="preserve">A foreign ADI has no Australian Board, so those obligations were incapable of performance by a branch. A named industry with no coverage would not survive consultation. Entity-level obligations with no transition would all fall due on commencement. And bespoke definitions floating free of CPS 001 invite inconsistency with the rest of the framework.</t>
  </si>
  <si>
    <t xml:space="preserve">A6 now reads down 'the Board' for foreign ADIs and ties undefined terms to CPS 001. A4 was split into entity-level obligations from commencement and model-level obligations on a remediation plan. M39 now names private health insurers, deferred claims liabilities and risk equalisation, and cites HPS 110. Annex F gained items for foreign ADIs and for whether a simplified pathway for smaller entities is warranted.</t>
  </si>
  <si>
    <t xml:space="preserve">A4, A6, M39, Annex F and the source register.</t>
  </si>
  <si>
    <t xml:space="preserve">Cross-industry drafting practice in CPS 220, CPS 230 and CPS 234; the enabling authority in A1.</t>
  </si>
  <si>
    <t xml:space="preserve">RT-47</t>
  </si>
  <si>
    <t xml:space="preserve">M03's carve-out excluded any tool whose output is fully determined by its inputs and documented rules.</t>
  </si>
  <si>
    <t xml:space="preserve">A unit price calculation is fully determined by its inputs. The carve-out would therefore have excluded the very models M02 and M40 were drafted to capture — the ones whose errors transfer value between members irreversibly.</t>
  </si>
  <si>
    <t xml:space="preserve">M03's test now turns on consequence as well as method: a tool is outside the definition only where it also does not determine a regulatory figure, a reported valuation or an amount attributable to a customer or beneficiary.</t>
  </si>
  <si>
    <t xml:space="preserve">M03; resolves a direct contradiction with M02 and M40.</t>
  </si>
  <si>
    <t xml:space="preserve">Internal consistency analysis across M02, M03 and M40.</t>
  </si>
  <si>
    <t xml:space="preserve">RT-48</t>
  </si>
  <si>
    <t xml:space="preserve">No requirement addressed the outputs a failed model had already produced, and M31 conferred a power to suspend a model without requiring anything to fall back on. Group and offshore model governance was unaddressed.</t>
  </si>
  <si>
    <t xml:space="preserve">Remediating a finding is not the same as remediating its consequences: a model that mispriced units or understated a provision leaves balances and figures that need correcting. A power to suspend a model the entity has no alternative to is not usable. And for many Australian entities the model is built and validated by an offshore parent.</t>
  </si>
  <si>
    <t xml:space="preserve">M30 now requires the entity, on identifying a material error or failure, to determine its cause, assess whether the weakness affects other models, and address the effect on figures, balances and customer or beneficiary amounts already produced. M31 requires an identified alternative basis for highest-tier models. M08 requires the entity to satisfy itself about group-performed work and retain the ability to direct and challenge it.</t>
  </si>
  <si>
    <t xml:space="preserve">M08, M30 and M31.</t>
  </si>
  <si>
    <t xml:space="preserve">ECB guide on group-level model governance; OSFI E-23 lifecycle stages.</t>
  </si>
  <si>
    <t xml:space="preserve">RT-49</t>
  </si>
  <si>
    <t xml:space="preserve">The crosswalk asserted that the BCBS does not address aggregate model risk.</t>
  </si>
  <si>
    <t xml:space="preserve">An asserted negative is a claim like any other. Adversarial review suggested the Basel Framework's prudent valuation guidance and Pillar 3 prudent valuation template may in fact require a model risk valuation adjustment and its public disclosure, which would make the negative wrong.</t>
  </si>
  <si>
    <t xml:space="preserve">The claim could not be resolved either way: the BIS Basel Framework chapter pages render their text client-side and could not be retrieved. Rather than keep an unverified negative or adopt an unverified positive, the cell now records the lead and its status. Ledger entry ST-17 marks it for resolution from the primary chapter before consultation.</t>
  </si>
  <si>
    <t xml:space="preserve">One crosswalk cell; one statement-ledger entry. No requirement relies on the point.</t>
  </si>
  <si>
    <t xml:space="preserve">BIS Basel Framework CAP50 chapter listing (title confirmed, text not retrievable).</t>
  </si>
  <si>
    <t xml:space="preserve">Open — unresolved, disclosed</t>
  </si>
  <si>
    <t xml:space="preserve">RT-50</t>
  </si>
  <si>
    <t xml:space="preserve">The standard applied all requirements to every model, with proportionality operating only on control intensity. Annex F recorded a de minimis exception as an open policy question.</t>
  </si>
  <si>
    <t xml:space="preserve">Without a de minimis mechanism, a model that could not matter attracts the same lifecycle as one that determines regulatory capital. Every comparator relieves low-consequence models of the full lifecycle, and the 2026 US guidance says so expressly: where models are deemed immaterial, model risk management may consist of identifying them and monitoring the conditions under which their use may become material.</t>
  </si>
  <si>
    <t xml:space="preserve">A de minimis exception was added at model level as M05. A model determined to be de minimis attracts only identification, inventory, ownership, classification and reassessment. Three anti-abuse limbs were drafted with it: prohibited classes that can never be de minimis (regulatory capital, provisions, insurance liabilities, reported valuations, unit prices and other customer or beneficiary amounts, and models supporting a critical operation); an aggregate test, because a population of individually immaterial models sharing an assumption may not be immaterial together; and a bar on disaggregating a model to bring its components under the threshold. The exception deliberately does not release a model from the inventory, since an entity that has removed a model cannot demonstrate the determination was ever made.</t>
  </si>
  <si>
    <t xml:space="preserve">New requirement M05; six new guidance paragraphs; a new Annex A definition; a new crosswalk topic; the proportionality scoring domain updated. Marked as a policy choice requiring consultation and cost-benefit testing.</t>
  </si>
  <si>
    <t xml:space="preserve">US interagency guidance 2026 §III; OSFI E-23 (2027) Principles 2.1 and 2.3; PRA SS1/23 Principle 1.3.</t>
  </si>
  <si>
    <t xml:space="preserve">Closed — requirement added</t>
  </si>
  <si>
    <t xml:space="preserve">RT-51</t>
  </si>
  <si>
    <t xml:space="preserve">Inserting M05 into Part A shifted every subsequent requirement identifier.</t>
  </si>
  <si>
    <t xml:space="preserve">An audit trail that references identifiers is only useful if those references still resolve. Leaving the earlier entries pointing at pre-insertion numbers would have silently misdirected every correction recorded before this one.</t>
  </si>
  <si>
    <t xml:space="preserve">All identifiers from the former M05 onward were resequenced upward by one across the requirement register, the practice guide, the scoring model, the crosswalk, this audit trail and the statement ledger. The concordance is simply: M01 to M04 unchanged; former Mnn for nn of 05 or above is now M(nn+1). References in this audit trail and the ledger have been updated to current identifiers, so an entry describing a correction to the former M13 now reads M14.</t>
  </si>
  <si>
    <t xml:space="preserve">Every artefact. The integrity check confirms that no guidance paragraph, scoring domain or cross-reference points at an identifier that does not exist.</t>
  </si>
  <si>
    <t xml:space="preserve">Automated resequencing with verification by the package integrity check.</t>
  </si>
  <si>
    <t xml:space="preserve">Closed — resequenced and verified</t>
  </si>
  <si>
    <t xml:space="preserve">RT-52</t>
  </si>
  <si>
    <t xml:space="preserve">Full adversarial verification of the five red-team lenses returned 57 findings, of which 31 were refuted outright and 24 were reduced to a smaller residual.</t>
  </si>
  <si>
    <t xml:space="preserve">Most findings were raised against snapshots of the package taken before earlier corrections landed. Verifiers repeatedly established that a quoted defect no longer existed, and that the proposed fix would either be a no-op or would reopen a closed correction. Acting on the raw findings would have undone RT-27, RT-31, RT-33, RT-34, RT-42, RT-46 and RT-47.</t>
  </si>
  <si>
    <t xml:space="preserve">Only the verified residuals were applied. M23's explanatory paragraph stated a different three-limb test from its own bold paragraph and reintroduced incentives as a co-equal limb; it now tracks the requirement and demotes incentives to a practical condition. M22 now prints the validation components in the order the current US guidance uses. M36's approval and use-test limbs are now expressly conditional on the applicable capital standard. Annex A's model definition carried a sentence M02 does not contain, and 'material model' used a non-negligible-effect trigger where 'material purpose' used a material-effect one; both are aligned. Three stale attributions in the practice guide were corrected: PRA Principle 5 for aggregate model risk, the exception paragraph reading as though it could except a requirement, and the superseded bias phrasing in the AI chapter.</t>
  </si>
  <si>
    <t xml:space="preserve">M22, M23, M36, two Annex A definitions and three practice guide paragraphs; CPS 001 and SPS 114 registered; two Annex F items extended.</t>
  </si>
  <si>
    <t xml:space="preserve">PRA SS1/23 Principles 2.1 and 5; US interagency guidance 2026 §§III and V; the package's own closed audit entries.</t>
  </si>
  <si>
    <t xml:space="preserve">Closed — verified residuals applied</t>
  </si>
  <si>
    <t xml:space="preserve">RT-53</t>
  </si>
  <si>
    <t xml:space="preserve">Two findings survived verification intact rather than being reduced.</t>
  </si>
  <si>
    <t xml:space="preserve">The Annex A model definition retained a three-component sentence that the operative definition in M02 does not contain, so the defined term and the requirement said different things; and M36 imposed an unconditional obligation to obtain APRA approval for model change and to use the model in internal risk management, where those duties arise only where the applicable capital standard imposes them.</t>
  </si>
  <si>
    <t xml:space="preserve">Both were applied as verified. The definition now matches M02 word for word, with the three-component description retained in the practice guide where it is explanatory. M36's limbs are now conditional on the applicable prudential standard.</t>
  </si>
  <si>
    <t xml:space="preserve">Annex A and M36.</t>
  </si>
  <si>
    <t xml:space="preserve">Independent verification at the locus; APS 113 and the ECB internal models framework.</t>
  </si>
  <si>
    <t xml:space="preserve">RT-54</t>
  </si>
  <si>
    <t xml:space="preserve">M37 and M38 both brought expected credit loss models into the scope of the Prudential Standard. M37 applied it to models used 'to determine expected credit losses'; M38 applied it to models used 'to assess and measure expected credit losses and to determine provisions'.</t>
  </si>
  <si>
    <t xml:space="preserve">Two mandatory paragraphs scoping the same models is a drafting defect. An entity cannot tell which paragraph governs, and a duplicated scoping obligation invites the argument that the two differ in some intended way.</t>
  </si>
  <si>
    <t xml:space="preserve">The expected credit loss limb was removed from M37, leaving M38 as the single scoping paragraph for expected credit loss and provisioning models. M37 now governs valuation and financial and regulatory reporting models, with guidance signposting paragraph 38 and confirming that both apply where one model serves both purposes.</t>
  </si>
  <si>
    <t xml:space="preserve">M37 and M38.</t>
  </si>
  <si>
    <t xml:space="preserve">Both requirement texts read at the locus.</t>
  </si>
  <si>
    <t xml:space="preserve">RT-55</t>
  </si>
  <si>
    <t xml:space="preserve">M45's independent review limb was drafted as applying where APRA requires a review of 'an aspect of its model risk management, including its provisioning practices'.</t>
  </si>
  <si>
    <t xml:space="preserve">Does the APS 220 Special purpose engagements provision, on which the limb rests, bear that weight? Its verbatim words extend to 'all or a particular aspect of the ADI's credit risk management, including provisioning practices'.</t>
  </si>
  <si>
    <t xml:space="preserve">It does not. The drafting substituted model risk management for credit risk management as the genus, converting a credit risk power into a model risk power, and did so in a cross-industry instrument when APS 220 applies to ADIs only. M45 now states an entity's obligation to support a review where the power is conferred by another instrument, without purporting to confer the power itself, and preserves the APS 220 formulation accurately as a separate limb. Guidance states expressly that the APS 220 provision does not reach model risk management at large and supplies no basis at all for an insurer or RSE licensee.</t>
  </si>
  <si>
    <t xml:space="preserve">M45 and its guidance; a new Annex F entry on independent review and special purpose engagements.</t>
  </si>
  <si>
    <t xml:space="preserve">APS 220 Special purpose engagements, verbatim; the drafting precedent set by RT-42, that the package must not assume a power no cited instrument supplies.</t>
  </si>
  <si>
    <t xml:space="preserve">RT-56</t>
  </si>
  <si>
    <t xml:space="preserve">The practice guide stated that where this Prudential Standard and APS 220 overlap, 'APS 220 prevails as the more specific instrument'.</t>
  </si>
  <si>
    <t xml:space="preserve">Is that precedence rule established anywhere, and what would it do if this Prudential Standard required more of a model than APS 220 does?</t>
  </si>
  <si>
    <t xml:space="preserve">It is established nowhere. The standard's Interpretation section creates no such rule, and as drafted the sentence would read down this Prudential Standard wherever it imposed the higher obligation — the opposite of the intent. The guidance now states that the two are cumulative, that neither reads down the other, and that the higher obligation is the one to meet, with the formal interaction recorded in Annex F for settlement.</t>
  </si>
  <si>
    <t xml:space="preserve">The expected credit loss chapter of the guide; a new Annex F entry on interaction with APS 220.</t>
  </si>
  <si>
    <t xml:space="preserve">The Interpretation section of the standard; APS 220.</t>
  </si>
  <si>
    <t xml:space="preserve">RT-57</t>
  </si>
  <si>
    <t xml:space="preserve">Annex G set out twelve focus areas for a review of expected credit loss models.</t>
  </si>
  <si>
    <t xml:space="preserve">Would the annex let a reviewer appointed under a special purpose engagement form a view on whether the reported provision is supportable?</t>
  </si>
  <si>
    <t xml:space="preserve">Not on the measurement itself. The annex addressed framework, governance, staging, segmentation, scenarios, overlays and data, but omitted the mechanics where expected credit loss estimates actually fail: the component models and their validation, the lifetime probability of default term structure, loss given default and collateral realisation, exposure at default and credit conversion factors for undrawn commitments, behavioural life and prepayment, discounting, back-testing of the estimate against realised losses, individually assessed exposures, the interaction of hardship, forbearance and write-off with measurement, and externally sourced components. Four new areas were added and the sequence reordered to follow the order in which an engagement would work through them.</t>
  </si>
  <si>
    <t xml:space="preserve">Annex G, now sixteen focus areas.</t>
  </si>
  <si>
    <t xml:space="preserve">Assessed against the measurement requirements of AASB 9 and the matters BCBS d350 and APRA's October 2023 letter direct to validation and credit judgement.</t>
  </si>
  <si>
    <t xml:space="preserve">RT-58</t>
  </si>
  <si>
    <t xml:space="preserve">Annex F stated that 'CPS 240' is a drafting placeholder only, after the package had been renumbered to CPS XXXX.</t>
  </si>
  <si>
    <t xml:space="preserve">Did the renumbering reach every occurrence?</t>
  </si>
  <si>
    <t xml:space="preserve">All but one. The string was split across two source lines, so it survived a search for the whole phrase and remained in the one annex whose purpose is to record that the number is a placeholder. Corrected, and the check was re-run over the assembled content of every module rather than over the source lines, which is the only form of the check that would have caught it.</t>
  </si>
  <si>
    <t xml:space="preserve">Annex F.</t>
  </si>
  <si>
    <t xml:space="preserve">Whole-package scan of assembled string values, which now reports no stale instrument numbers.</t>
  </si>
  <si>
    <t xml:space="preserve">RT-59</t>
  </si>
  <si>
    <t xml:space="preserve">The RT-56 correction was applied to the practice guide but not to the standard. M38's guidance still read that 'where the two overlap the more specific requirement in APS 220 prevails', while the guide had been changed to say the two are cumulative.</t>
  </si>
  <si>
    <t xml:space="preserve">Found on re-executing the pipeline after RT-56. Two questions: did the correction reach every locus, and is the precedence formulation right anywhere it appears?</t>
  </si>
  <si>
    <t xml:space="preserve">It had not, and it was not. The two documents contradicted each other, and the formulation was actively wrong for M38 — it would let an ADI satisfy the bare APS 220 validation obligation and disregard the validation discipline M38 exists to supply. M38 now carries the cumulative formulation. M36's parallel deference to the capital standards was kept, because APS 113 contains a complete and more demanding model regime where APS 220 contains a bare obligation, but it was made precise: the capital standard governs approval, change and conditions of use, and does not relieve the entity of the framework obligations it does not address. The valuation scoring action was also still referring to expected credit loss models after RT-54 moved them to M38.</t>
  </si>
  <si>
    <t xml:space="preserve">M36, M38, and two recommended actions in the scoring model.</t>
  </si>
  <si>
    <t xml:space="preserve">Detected by rebuilding from source and reading the assembled output rather than the diff.</t>
  </si>
  <si>
    <t xml:space="preserve">RT-60</t>
  </si>
  <si>
    <t xml:space="preserve">The package asserted that no special purpose engagement power reached an insurer or an RSE licensee, and that APS 220 was the only instrument conferring one. M45, its guidance, Annex F, Annex G and the practice guide were all drafted on that footing.</t>
  </si>
  <si>
    <t xml:space="preserve">Raised by an independent red-team lens as an asserted negative from an unexamined field — the same defect class as RT-42 — and then put directly by the reviewer, who asked whether APS 220 or APS 310 allows expected credit loss models to be looked at.</t>
  </si>
  <si>
    <t xml:space="preserve">The assertion was wrong. A special purpose engagement power exists in every industry this Prudential Standard covers, in the Audit and Related Matters standards: APS 310 for ADIs (operations, prudential reporting, risk management systems or financial position), GPS 310 for general insurers, LPS 310 for life companies and HPS 310 for private health insurers (operations, risk management or financial affairs), and SPS 310 for RSE licensees (business operations, compliance with prudential requirements or the risk management framework). Each was read from the primary instrument and each is in force. Because they reach risk management rather than credit risk management, they are a better fit for a model risk review than APS 220, which remains the narrower ADI-only basis for the credit risk and provisioning aspects. M45 now rests on the 310 standards with APS 220 as a second basis; Annex F's question changes from whether to confer a power to how M45 interacts with the powers that exist; Annex G gains a table of the provisions; and the guide chapter and scoring action were rewritten.</t>
  </si>
  <si>
    <t xml:space="preserve">M45 and its guidance, two Annex F entries, the Annex G callout and a new table, the guide chapter, the ECL scoring domain, and five new source register entries.</t>
  </si>
  <si>
    <t xml:space="preserve">APS 310, GPS 310, LPS 310, HPS 310 and SPS 310 read from apra.gov.au on 25 July 2026.</t>
  </si>
  <si>
    <t xml:space="preserve">RT-61</t>
  </si>
  <si>
    <t xml:space="preserve">M45's limb required access to whatever 'the review requires', and described the engagement as one APRA may 'commission'.</t>
  </si>
  <si>
    <t xml:space="preserve">Independent lens: who fixes the scope of the obligation, and who appoints and pays?</t>
  </si>
  <si>
    <t xml:space="preserve">Both were wrong. The extent of a binding obligation was left to a privately appointed reviewer rather than to the matters APRA specifies; the limb now reads 'reasonably required for the matters APRA has specified'. And under every one of these provisions APRA requires the entity to appoint and the entity bears the cost, so 'commission' — the ordinary word for engaging and paying a reviewer — told entities the opposite of what the provisions do. Corrected in the Annex G callout, the guide and the scoring action. The limb was also conditioned on 'a prudential standard', which on its face included this one, making the paragraph arguably its own enabling provision; it now reads 'another prudential standard'.</t>
  </si>
  <si>
    <t xml:space="preserve">M45; the Annex G callout; the guide chapter; the ECL scoring domain.</t>
  </si>
  <si>
    <t xml:space="preserve">The verbatim provisions; the drafting principle applied at RT-55.</t>
  </si>
  <si>
    <t xml:space="preserve">RT-62</t>
  </si>
  <si>
    <t xml:space="preserve">The Annex G callout and M45's guidance said a review of the whole of Annex G was the kind of engagement the APS 220 provision contemplates.</t>
  </si>
  <si>
    <t xml:space="preserve">Independent lens: RT-55 narrowed M45 to respect the APS 220 genus, and RT-57 enlarged Annex G in the same revision, but nobody re-tested the enlarged Annex against the narrowed genus.</t>
  </si>
  <si>
    <t xml:space="preserve">The over-claim had survived at a different locus, and in the standard rather than the guide. Focus area 1 tests the model risk framework at large, area 13 third-party continuity and area 15 regulatory reporting — none of which is credit risk management. With APS 310 now identified the problem largely dissolves, because the 310 standards reach risk management generally; the callout and the guide now attribute the credit risk and provisioning areas to APS 220 and the remainder to APS 310. Recorded because the pattern — a correction that is right where it is applied and does not travel — is the same one as RT-59 and is now the package's most frequent defect.</t>
  </si>
  <si>
    <t xml:space="preserve">The Annex G callout; M45's guidance; the guide chapter.</t>
  </si>
  <si>
    <t xml:space="preserve">Independent red-team lens on the special purpose engagement power.</t>
  </si>
  <si>
    <t xml:space="preserve">RT-63</t>
  </si>
  <si>
    <t xml:space="preserve">The pre-existing Annex F entry 'APRA powers' listed independent review among the powers to be settled, and the new entry on special purpose engagements owned the same decision.</t>
  </si>
  <si>
    <t xml:space="preserve">Independent lens: two entries in one settlement register owning one decision, neither cross-referencing the other.</t>
  </si>
  <si>
    <t xml:space="preserve">Annex F is a work allocation to APRA Legal and the Office of Parliamentary Counsel, and duplicated ownership invites either duplicated work or divergent resolution. Independent review was struck from the general powers entry, which now points to the dedicated entry.</t>
  </si>
  <si>
    <t xml:space="preserve">Two Annex F entries.</t>
  </si>
  <si>
    <t xml:space="preserve">Independent red-team lens; the same reasoning applied at RT-54.</t>
  </si>
  <si>
    <t xml:space="preserve">RT-64</t>
  </si>
  <si>
    <t xml:space="preserve">The two 'Capturing economic uncertainty' paragraphs in the expected credit loss chapter of the practice guide were tagged to requirements M38 and M40.</t>
  </si>
  <si>
    <t xml:space="preserve">Independent lens: inserting M38 renumbered the requirements above it, so does M40 still mean what the chapter was drafted against?</t>
  </si>
  <si>
    <t xml:space="preserve">It does not. Before the insertion M40 was stress testing; after it, M40 is 'Models used by RSE licensees' and stress testing became M41. The guide chapter was drafted against the pre-insertion numbering, so the superannuation requirement's guidance pointer reached two paragraphs about expected credit loss sensitivity analysis and internal capital adequacy assessment, and the stress testing requirement lost them. Both tags corrected to M41. M40 now resolves to paragraphs 116 to 117 and M41 to 118 to 119 and 126 to 127. This class of error passes every existing check: both identifiers exist, so the cross-reference verification confirms the pointer resolves while it points at the wrong requirement. It was found only by an independent reader asking what the identifier now means.</t>
  </si>
  <si>
    <t xml:space="preserve">Two guide paragraphs; the guidance cross-references under M40 and M41 in the standard.</t>
  </si>
  <si>
    <t xml:space="preserve">content_guide.numbered() before and after; the diff of the commit that introduced M38.</t>
  </si>
  <si>
    <t xml:space="preserve">RT-65</t>
  </si>
  <si>
    <t xml:space="preserve">Annex G focus area 5 tested the indicators used to transfer exposures into Stage 2 and the sensitivity of the provision to staging thresholds.</t>
  </si>
  <si>
    <t xml:space="preserve">Independent lens: does the Annex ever test the measurement consequence of the transfer, as distinct from its trigger?</t>
  </si>
  <si>
    <t xml:space="preserve">It did not. A search of the whole package returned no occurrence of '12-month', 'credit-impaired', 'definition of default' or 'cure'. The point of a Stage 2 transfer is that it changes the measurement basis from twelve-month to lifetime expected credit losses, and a review that tested only the trigger would not reach the consequence that makes the trigger matter. Area 5 was retitled and now tests whether the staging outcome selects the correct measurement basis through all three stages, and whether the definitions of default and cure are consistent with those used in credit risk management and regulatory capital. Evidence now includes a stage reconciliation with movements explained.</t>
  </si>
  <si>
    <t xml:space="preserve">Annex G focus area 5.</t>
  </si>
  <si>
    <t xml:space="preserve">AASB 9 measurement requirements; absence confirmed by search across all content modules.</t>
  </si>
  <si>
    <t xml:space="preserve">RT-66</t>
  </si>
  <si>
    <t xml:space="preserve">Annex G focus area 4 asked whether the entity compares expected credit losses previously recognised against losses actually realised.</t>
  </si>
  <si>
    <t xml:space="preserve">Independent lens: an AASB 9 estimate is a probability-weighted expectation across scenarios, so is single-period comparison against outcomes a coherent test at all?</t>
  </si>
  <si>
    <t xml:space="preserve">Partly. Verification rejected the wider claim — the area asks for bias identified across periods, not single-period falsification — but confirmed a real defect inside it: the area did not require the comparison to be made on a matched horizon, and a lifetime estimate compared against one year of write-offs is not a test of anything. The area now requires twelve-month estimates to be compared against the following twelve months and lifetime estimates only over multi-period cohorts, states expressly that a single period falsifies nothing, and adds comparison of realised macroeconomic conditions against the scenario set.</t>
  </si>
  <si>
    <t xml:space="preserve">Annex G focus area 4.</t>
  </si>
  <si>
    <t xml:space="preserve">Adversarial verification of an overstated finding, which reduced it to the part that held.</t>
  </si>
  <si>
    <t xml:space="preserve">RT-18</t>
  </si>
  <si>
    <t xml:space="preserve">The Comptroller's Handbook model risk management booklet was cited as a source.</t>
  </si>
  <si>
    <t xml:space="preserve">Is it retrievable, and is it current?</t>
  </si>
  <si>
    <t xml:space="preserve">It was rescinded on 17 April 2026 and its PDF no longer resolves on an official domain. Its existence, issuance and rescission are verified from two reachable OCC sources, but nothing about its contents is asserted anywhere in this package.</t>
  </si>
  <si>
    <t xml:space="preserve">Source register entry retained with a verification caveat; no requirement relies on it.</t>
  </si>
  <si>
    <t xml:space="preserve">OCC Bulletin 2021-39; OCC Bulletin 2026-13 rescission list.</t>
  </si>
  <si>
    <t xml:space="preserve">Official source register</t>
  </si>
  <si>
    <t xml:space="preserve">POLICY DEVELOPMENT DRAFT — NOT IN FORCE | URLs point to official authority websites and were checked on the date shown.</t>
  </si>
  <si>
    <t xml:space="preserve">Relevant content</t>
  </si>
  <si>
    <t xml:space="preserve">Official URL</t>
  </si>
  <si>
    <t xml:space="preserve">Checked</t>
  </si>
  <si>
    <t xml:space="preserve">Current US framework. Seven sections: introduction; purpose and scope; overview of model risk and model risk management; model development and model use; model validation and monitoring; governance and controls; and vendor and other third-party products. Retains effective challenge and the three components of validation, and expressly addresses aggregate model risk.</t>
  </si>
  <si>
    <t xml:space="preserve">https://www.federalreserve.gov/supervisionreg/srletters/SR2602.htm</t>
  </si>
  <si>
    <t xml:space="preserve">25 Jul 2026</t>
  </si>
  <si>
    <t xml:space="preserve">The originating framework: the three-component description of a model, the two sources of model risk, effective challenge, conceptual soundness, the three core elements of validation, inventory, documentation and vendor models. Its broad model definition is NOT carried forward into the 2026 guidance, which is narrower.</t>
  </si>
  <si>
    <t xml:space="preserve">https://www.occ.gov/static/rescinded-bulletins/bulletin-2011-12.pdf</t>
  </si>
  <si>
    <t xml:space="preserve">Establishes definitively that the US model risk guidance is not law. This is the single binding instrument in the US part of this evidence base, and it binds the regulators rather than the banks.</t>
  </si>
  <si>
    <t xml:space="preserve">https://www.ecfr.gov/current/title-12/chapter-I/part-4/subpart-F</t>
  </si>
  <si>
    <t xml:space="preserve">States that OCC guidance does not require community banks to perform annual model validation, and that the OCC will not give negative supervisory feedback solely for the frequency or scope of validation a bank reasonably determined on a risk basis. Directly relevant to proportionality drafting.</t>
  </si>
  <si>
    <t xml:space="preserve">https://www.occ.gov/news-issuances/bulletins/2025/bulletin-2025-26.html</t>
  </si>
  <si>
    <t xml:space="preserve">Existence, issuance and rescission are confirmed. The booklet itself is no longer retrievable from an official domain and no statement about its contents is relied upon anywhere in this package.</t>
  </si>
  <si>
    <t xml:space="preserve">https://www.occ.gov/news-issuances/bulletins/2021/bulletin-2021-39.html</t>
  </si>
  <si>
    <t xml:space="preserve">Five principles with 23 sub-principles: model identification and model risk classification; governance; model development, implementation, and use; independent model validation; and model risk mitigants.</t>
  </si>
  <si>
    <t xml:space="preserve">https://www.bankofengland.co.uk/prudential-regulation/publication/2023/may/model-risk-management-principles-for-banks</t>
  </si>
  <si>
    <t xml:space="preserve">Confirms the twelve-month implementation period and the restriction of scope to firms with internal model approval.</t>
  </si>
  <si>
    <t xml:space="preserve">Model risk management expectations specific to stress testing models, including governance of assumptions and expert judgement.</t>
  </si>
  <si>
    <t xml:space="preserve">https://www.bankofengland.co.uk/prudential-regulation/publication/2018/model-risk-management-principles-for-stress-testing-ss</t>
  </si>
  <si>
    <t xml:space="preserve">Three outcomes and twelve principles numbered 1.1 to 3.6, covering enterprise-wide model risk management, a risk-based approach, and model lifecycle management. Appendix 1, Information tracking for models, sets out minimum model inventory content. Expressly covers AI and machine learning models.</t>
  </si>
  <si>
    <t xml:space="preserve">https://www.osfi-bsif.gc.ca/en/guidance/guidance-library/guideline-e-23-model-risk-management-2027</t>
  </si>
  <si>
    <t xml:space="preserve">The predecessor framework, structured as numbered sections rather than principles. Included for contrast with the expanded 2027 scope.</t>
  </si>
  <si>
    <t xml:space="preserve">https://www.osfi-bsif.gc.ca/en/guidance/guidance-library/enterprise-wide-model-risk-management-deposit-taking-institutions</t>
  </si>
  <si>
    <t xml:space="preserve">Third-party arrangements including externally supplied models and the information rights needed to govern them.</t>
  </si>
  <si>
    <t xml:space="preserve">https://www.osfi-bsif.gc.ca/en/guidance/guidance-library/third-party-risk-management-guideline</t>
  </si>
  <si>
    <t xml:space="preserve">Five chapters: overarching principles for internal models, credit risk, market risk under CRR2, market risk under CRR3, and counterparty credit risk. The overarching principles chapter has twelve sections including documentation, data governance, implementation of a model risk management framework, internal validation, internal audit, the use of machine learning techniques in internal models, model change and third-party involvement.</t>
  </si>
  <si>
    <t xml:space="preserve">https://www.bankingsupervision.europa.eu/activities/internal_models/html/index.en.html</t>
  </si>
  <si>
    <t xml:space="preserve">Legal requirements for internal model validation, the use test, model governance and the review of estimates.</t>
  </si>
  <si>
    <t xml:space="preserve">https://eur-lex.europa.eu/legal-content/EN/TXT/?uri=CELEX%3A32013R0575</t>
  </si>
  <si>
    <t xml:space="preserve">Data governance, data quality and the reliability of risk data feeding models and risk reporting.</t>
  </si>
  <si>
    <t xml:space="preserve">https://www.bankingsupervision.europa.eu/framework/legal-framework/public-consultations/html/rdarr.en.html</t>
  </si>
  <si>
    <t xml:space="preserve">Governance and oversight, key risk management systems and processes, and development and deployment controls for AI models, including generative AI.</t>
  </si>
  <si>
    <t xml:space="preserve">https://www.mas.gov.sg/publications/monographs-or-information-paper/2024/artificial-intelligence-model-risk-management</t>
  </si>
  <si>
    <t xml:space="preserve">Fairness, ethics, accountability and transparency principles applied to analytics and AI-driven decisions.</t>
  </si>
  <si>
    <t xml:space="preserve">https://www.mas.gov.sg/publications/monographs-or-information-paper/2018/feat</t>
  </si>
  <si>
    <t xml:space="preserve">Internal ratings-based and internal models provisions, including model validation, independent review and the use test for regulatory capital models.</t>
  </si>
  <si>
    <t xml:space="preserve">https://www.mas.gov.sg/regulation/notices/notice-637</t>
  </si>
  <si>
    <t xml:space="preserve">Fourteen principles on governance, data architecture, accuracy, completeness, timeliness and adaptability of risk data, and on risk reporting practices.</t>
  </si>
  <si>
    <t xml:space="preserve">https://www.bis.org/publ/bcbs239.htm</t>
  </si>
  <si>
    <t xml:space="preserve">Nine principles on stress testing governance, including the models used and the assumptions and expert judgement embedded in them.</t>
  </si>
  <si>
    <t xml:space="preserve">https://www.bis.org/bcbs/publ/d450.htm</t>
  </si>
  <si>
    <t xml:space="preserve">Valuation governance, valuation model validation, independent price verification and the treatment of valuation uncertainty.</t>
  </si>
  <si>
    <t xml:space="preserve">https://www.bis.org/publ/bcbs153.htm</t>
  </si>
  <si>
    <t xml:space="preserve">Observations on AI and machine learning, model risk, explainability, data and third-party dependencies in banking.</t>
  </si>
  <si>
    <t xml:space="preserve">https://www.bis.org/bcbs/publ/d575.htm</t>
  </si>
  <si>
    <t xml:space="preserve">Early supervisory observations on AI/ML model risk, explainability and governance.</t>
  </si>
  <si>
    <t xml:space="preserve">https://www.bis.org/publ/bcbs_nl27.htm</t>
  </si>
  <si>
    <t xml:space="preserve">Twelve principles covering governance, risk management and strategy, risk assessment, due diligence, contracting, onboarding, ongoing monitoring, business continuity, termination and the role of supervisors — applicable to externally supplied models.</t>
  </si>
  <si>
    <t xml:space="preserve">https://www.bis.org/bcbs/publ/d605.htm</t>
  </si>
  <si>
    <t xml:space="preserve">Twelve sound practices spanning strategic direction and oversight, governance and accountability, risk management framework, organisational adaptability, materiality and risk assessment, selection, data governance, explainability and transparency, performance management, human oversight, cyber and ICT risk, and third-party AI risk. Addresses AI rather than model risk generally, and is used here only as comparative input.</t>
  </si>
  <si>
    <t xml:space="preserve">https://www.fsb.org/2026/06/sound-practices-for-responsible-adoption-of-artificial-intelligence-ai/</t>
  </si>
  <si>
    <t xml:space="preserve">Vulnerabilities including third-party dependencies, service provider concentration, correlated model behaviour, market correlation and cyber risk.</t>
  </si>
  <si>
    <t xml:space="preserve">https://www.fsb.org/2024/11/the-financial-stability-implications-of-artificial-intelligence/</t>
  </si>
  <si>
    <t xml:space="preserve">Early identification of model risk, opacity and third-party concentration arising from AI adoption in finance.</t>
  </si>
  <si>
    <t xml:space="preserve">https://www.fsb.org/2017/11/artificial-intelligence-and-machine-learning-in-financial-service/</t>
  </si>
  <si>
    <t xml:space="preserve">Eleven principles. Principles 1 to 8 address banks: board and management responsibilities; sound ECL methodologies; credit risk rating process and grouping; adequacy of the allowance; ECL model validation; experienced credit judgment; common data; and disclosure. Principles 9 to 11 address supervisors: periodic evaluation of credit risk practices; satisfaction that ECL measurement methods are appropriate; and consideration of credit risk practices in assessing capital adequacy. Principle 5 is the direct antecedent of the ECL model validation obligation in APS 220.</t>
  </si>
  <si>
    <t xml:space="preserve">https://www.bis.org/bcbs/publ/d350.htm</t>
  </si>
  <si>
    <t xml:space="preserve">Supervisory observations on credit risk practices, including expected credit loss provisioning. Cited by APRA's October 2023 letter on provisioning practices as reinforcing the same observations.</t>
  </si>
  <si>
    <t xml:space="preserve">https://www.bis.org/publ/bcbs_nl32.htm</t>
  </si>
  <si>
    <t xml:space="preserve">Credit risk management framework, classification of exposures and provisions, and a dedicated section on credit risk and accounting for expected credit losses which requires an ADI to have sound policies and processes in place to appropriately validate models used to assess and measure expected credit losses. Also contains the Special purpose engagements provision under which APRA may require an ADI to appoint an independent party to review and report to APRA on its credit risk management, including provisioning practices.</t>
  </si>
  <si>
    <t xml:space="preserve">https://www.apra.gov.au/standards/aps-220</t>
  </si>
  <si>
    <t xml:space="preserve">Contains a Special purpose engagements provision under which APRA may require an ADI, by notice in writing, to appoint an auditor to report on a particular aspect of the ADI's operations, prudential reporting, risk management systems or financial position, at the ADI's expense. The reference to risk management systems is the express basis on which a review of model risk management may be required of an ADI.</t>
  </si>
  <si>
    <t xml:space="preserve">https://www.apra.gov.au/standards/aps-310</t>
  </si>
  <si>
    <t xml:space="preserve">Where APRA specifies in writing, the Appointed Auditor must undertake a special purpose review of matters relating to the insurer's operations, risk management or financial affairs, at the insurer's expense, reporting within three months.</t>
  </si>
  <si>
    <t xml:space="preserve">https://www.apra.gov.au/standards/gps-310</t>
  </si>
  <si>
    <t xml:space="preserve">Provides for a special purpose engagement relating to matters set out in writing by APRA concerning the life company's operations, risk management or financial affairs, at the life company's expense.</t>
  </si>
  <si>
    <t xml:space="preserve">https://www.apra.gov.au/standards/lps-310</t>
  </si>
  <si>
    <t xml:space="preserve">Provides for a special purpose engagement relating to matters set out in writing by APRA concerning the private health insurer's operations, risk management or financial affairs, at the insurer's expense.</t>
  </si>
  <si>
    <t xml:space="preserve">https://www.apra.gov.au/standards/hps-310</t>
  </si>
  <si>
    <t xml:space="preserve">APRA may require an RSE licensee to engage an auditor, being the existing RSE auditor or another auditor specified by APRA, to report on a particular aspect of the RSE licensee's business operations, compliance with prudential requirements or the RSE licensee's risk management framework, at the RSE licensee's expense.</t>
  </si>
  <si>
    <t xml:space="preserve">https://www.apra.gov.au/standards/sps-310</t>
  </si>
  <si>
    <t xml:space="preserve">Guidance on the APS 220 credit risk framework. Expressly states that the Basel Committee's Guidance on credit risk and accounting for expected credit losses of 18 December 2015 sets out guidance on sound credit risk practices associated with expected credit loss accounting frameworks, and that APRA expects ADIs to have regard to it.</t>
  </si>
  <si>
    <t xml:space="preserve">https://www.apra.gov.au/practice-guides/apg-220</t>
  </si>
  <si>
    <t xml:space="preserve">Sets out APRA's observations on expected credit loss provisioning across three areas: controls around model risk management, including judgement-based adjustments and overlays; capturing economic uncertainty through sensitivity analysis; and identifying credit deterioration in vulnerable sectors and borrowers, including the indicators used to transfer exposures to Stage 2 under AASB 9. The principal source for the review focus areas in Annex G.</t>
  </si>
  <si>
    <t xml:space="preserve">https://www.apra.gov.au/credit-risk-provisioning-practices-for-locally-incorporated-authorised-deposit-taking-institutions</t>
  </si>
  <si>
    <t xml:space="preserve">The expected credit loss impairment model, including the three-stage approach and the assessment of significant increases in credit risk. APS 220 requires provisions to be adequate and consistent with the objectives of Australian Accounting Standards.</t>
  </si>
  <si>
    <t xml:space="preserve">https://www.aasb.gov.au/pronouncements/accounting-standards/</t>
  </si>
  <si>
    <t xml:space="preserve">Guidance on the internal capital adequacy assessment process and on stress testing, which APRA's provisioning letter directs ADIs to follow when conducting sensitivity analysis on expected credit losses.</t>
  </si>
  <si>
    <t xml:space="preserve">https://www.apra.gov.au/practice-guides/cpg-110</t>
  </si>
  <si>
    <t xml:space="preserve">The centralised definitions instrument. Paragraph A6 provides that a term not defined in Annex A takes its meaning from CPS 001, so the two must be reconciled before issue.</t>
  </si>
  <si>
    <t xml:space="preserve">https://www.apra.gov.au/standards/cps-001</t>
  </si>
  <si>
    <t xml:space="preserve">Risk management framework, risk appetite, Board and senior management responsibilities. Does not name model risk as a distinct risk type.</t>
  </si>
  <si>
    <t xml:space="preserve">https://www.apra.gov.au/standards/cps-220</t>
  </si>
  <si>
    <t xml:space="preserve">Risk management framework and governance obligations for superannuation.</t>
  </si>
  <si>
    <t xml:space="preserve">https://www.apra.gov.au/standards/sps-220</t>
  </si>
  <si>
    <t xml:space="preserve">Operational risk controls, critical operations and tolerance levels, incident management and notification, and service provider management.</t>
  </si>
  <si>
    <t xml:space="preserve">https://www.apra.gov.au/standards/cps-230</t>
  </si>
  <si>
    <t xml:space="preserve">Information security capability, control testing, incident notification and assurance.</t>
  </si>
  <si>
    <t xml:space="preserve">https://www.apra.gov.au/standards/cps-234</t>
  </si>
  <si>
    <t xml:space="preserve">Data governance, data lifecycle, data quality and controls. Predates modern model data concerns such as proxy and synthetic data.</t>
  </si>
  <si>
    <t xml:space="preserve">https://www.apra.gov.au/system/files/Prudential-Practice-Guide-CPG-235-Managing-Data-Risk_1.pdf</t>
  </si>
  <si>
    <t xml:space="preserve">The most developed model governance requirements in the Australian framework: model approval, independent review, validation, the use test and model change.</t>
  </si>
  <si>
    <t xml:space="preserve">https://www.apra.gov.au/standards/aps-113</t>
  </si>
  <si>
    <t xml:space="preserve">Appointed Actuary role, actuarial advice framework, Financial Condition Report and Actuarial Valuation Report — a form of independent professional review of actuarial models. The commencement and structure of the current version were confirmed from the APRA standards page; the in-force PDF could not be downloaded, so paragraph references are taken from the July 2019 text and should be re-checked against the 1 July 2026 version.</t>
  </si>
  <si>
    <t xml:space="preserve">https://www.apra.gov.au/standards/cps-320</t>
  </si>
  <si>
    <t xml:space="preserve">Investment governance, valuation, liquidity management and stress testing obligations that rely on models.</t>
  </si>
  <si>
    <t xml:space="preserve">https://www.apra.gov.au/standards/sps-530</t>
  </si>
  <si>
    <t xml:space="preserve">Capital adequacy for private health insurers. Named here because private health insurance is within the enabling authority for this Prudential Standard and its liability and risk equalisation calculations are modelled.</t>
  </si>
  <si>
    <t xml:space="preserve">https://www.apra.gov.au/standards/hps-110</t>
  </si>
  <si>
    <t xml:space="preserve">Determination and maintenance of the operational risk financial requirement target amount — the superannuation counterpart to an internal capital assessment, and therefore the place where aggregate model risk is considered for an RSE licensee.</t>
  </si>
  <si>
    <t xml:space="preserve">https://www.apra.gov.au/standards/sps-114</t>
  </si>
  <si>
    <t xml:space="preserve">Business performance review and member outcomes assessment, which rely on modelled projections.</t>
  </si>
  <si>
    <t xml:space="preserve">https://www.apra.gov.au/standards/sps-515</t>
  </si>
  <si>
    <t xml:space="preserve">Glossary and provenance terms</t>
  </si>
  <si>
    <t xml:space="preserve">POLICY DEVELOPMENT DRAFT — NOT IN FORCE | Draft definitions require legal alignment before issue.</t>
  </si>
  <si>
    <t xml:space="preserve">Term</t>
  </si>
  <si>
    <t xml:space="preserve">Model</t>
  </si>
  <si>
    <t xml:space="preserve">A quantitative method, system or approach that applies statistical, economic, financial, actuarial or mathematical theories, techniques or assumptions to process input data into quantitative estimates.</t>
  </si>
  <si>
    <t xml:space="preserve">Model risk</t>
  </si>
  <si>
    <t xml:space="preserve">The potential for adverse consequences from decisions based on incorrect or misused model outputs. Model risk arises where a model has fundamental errors and produces inaccurate outputs relative to its design objective and intended use, or where a model is used incorrectly or inappropriately.</t>
  </si>
  <si>
    <t xml:space="preserve">Material model</t>
  </si>
  <si>
    <t xml:space="preserve">A model that is used for a material purpose, or whose failure or misuse could otherwise have a material effect on the entity's financial position, its regulatory obligations, its critical operations, or amounts or entitlements attributable to its customers or beneficiaries.</t>
  </si>
  <si>
    <t xml:space="preserve">Model owner</t>
  </si>
  <si>
    <t xml:space="preserve">The person accountable for a model being fit for its approved purpose throughout its lifecycle, including its documentation, performance monitoring, communication of limitations and remediation of findings.</t>
  </si>
  <si>
    <t xml:space="preserve">Model risk tier</t>
  </si>
  <si>
    <t xml:space="preserve">The classification assigned to a model under the entity's tiering methodology, which determines the intensity of controls applied to it.</t>
  </si>
  <si>
    <t xml:space="preserve">An assessment of a model's fitness for its intended use performed by persons who did not develop the model and who are not accountable to those who developed it or who sponsor its use.</t>
  </si>
  <si>
    <t xml:space="preserve">Critical and objective analysis by persons with the expertise to identify model limitations, sufficient independence to maintain objectivity, and the organisational standing and influence to effect change.</t>
  </si>
  <si>
    <t xml:space="preserve">Conceptual soundness</t>
  </si>
  <si>
    <t xml:space="preserve">The quality of a model's design, theory, methodology and assumptions as appropriate for the purpose for which the model will be used.</t>
  </si>
  <si>
    <t xml:space="preserve">Outcomes analysis</t>
  </si>
  <si>
    <t xml:space="preserve">Comparison of model outputs with corresponding actual outcomes, used to assess whether a model continues to perform as intended.</t>
  </si>
  <si>
    <t xml:space="preserve">Overlay</t>
  </si>
  <si>
    <t xml:space="preserve">An adjustment applied to a model's output before it is used, including management overlays, post-model adjustments and model overrides.</t>
  </si>
  <si>
    <t xml:space="preserve">Quantitative decision tool</t>
  </si>
  <si>
    <t xml:space="preserve">A quantitative method that materially informs a decision but does not meet the definition of a model.</t>
  </si>
  <si>
    <t xml:space="preserve">De minimis model</t>
  </si>
  <si>
    <t xml:space="preserve">A model that the entity has determined, and documented, could not have a material effect on its financial position, its regulatory obligations, its critical operations, or amounts or entitlements attributable to its customers or beneficiaries if it were wrong or misused. A de minimis model remains subject to identification, inventory, ownership, classification and reassessment.</t>
  </si>
  <si>
    <t xml:space="preserve">Material purpose</t>
  </si>
  <si>
    <t xml:space="preserve">A purpose where an incorrect or misused model output could have a material effect on the entity's financial position, its regulatory obligations, its critical operations, or amounts or entitlements attributable to its customers or beneficiaries.</t>
  </si>
  <si>
    <t xml:space="preserve">Ongoing model monitoring</t>
  </si>
  <si>
    <t xml:space="preserve">Evaluation of whether a model continues to perform as expected given changes in products, exposures, activities, customers, data relevance or market conditions.</t>
  </si>
  <si>
    <t xml:space="preserve">Independent price verification</t>
  </si>
  <si>
    <t xml:space="preserve">Verification of valuation inputs and prices by a function independent of the business that originated the position, distinct from validation of the valuation model itself.</t>
  </si>
  <si>
    <t xml:space="preserve">Model failure</t>
  </si>
  <si>
    <t xml:space="preserve">An event in which a model produces materially incorrect output, is materially misused, or becomes unavailable, in each case in circumstances affecting a material purpose.</t>
  </si>
  <si>
    <t xml:space="preserve">Artificial intelligence system</t>
  </si>
  <si>
    <t xml:space="preserve">A machine-based system that infers from inputs how to generate outputs such as predictions, content, recommendations, decisions or actions. An artificial intelligence system that produces quantitative estimates relied upon for a material purpose is a model.</t>
  </si>
  <si>
    <t xml:space="preserve">Third-party model</t>
  </si>
  <si>
    <t xml:space="preserve">A model developed, supplied, hosted or operated by a party other than the entity, including a model embedded in a supplied system.</t>
  </si>
  <si>
    <t xml:space="preserve">A close reflection of an explicit requirement or expectation in a source instrument.</t>
  </si>
  <si>
    <t xml:space="preserve">A synthesis across sources that is faithful to each of them.</t>
  </si>
  <si>
    <t xml:space="preserve">A reasoned construction where no single source states the proposition.</t>
  </si>
  <si>
    <t xml:space="preserve">A proposed requirement not directly mandated by any comparator authority. The drafter, not a comparator, is the author of the obligation. This does not mean the requirement is unsupported; it means it requires consultation and cost-benefit testing before issue.</t>
  </si>
  <si>
    <t xml:space="preserve">Confirmed by reading the issuing authority's own document.</t>
  </si>
  <si>
    <t xml:space="preserve">Confirmed only from a reputable third party, not from the issuing authority's own document.</t>
  </si>
  <si>
    <t xml:space="preserve">Could not be confirmed from an official source and is not relied upon for any statement of requirement.</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</si>
</sst>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1B335F"/>
      <name val="Arial"/>
      <family val="0"/>
      <charset val="1"/>
    </font>
    <font>
      <i val="true"/>
      <sz val="9"/>
      <color rgb="FF9C6300"/>
      <name val="Arial"/>
      <family val="0"/>
      <charset val="1"/>
    </font>
    <font>
      <b val="true"/>
      <sz val="9"/>
      <color rgb="FFFFFFFF"/>
      <name val="Arial"/>
      <family val="0"/>
      <charset val="1"/>
    </font>
    <font>
      <sz val="9"/>
      <name val="Arial"/>
      <family val="0"/>
      <charset val="1"/>
    </font>
    <font>
      <b val="true"/>
      <sz val="10"/>
      <color rgb="FF1B335F"/>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b val="true"/>
      <sz val="9"/>
      <color rgb="FF0000FF"/>
      <name val="Arial"/>
      <family val="0"/>
      <charset val="1"/>
    </font>
    <font>
      <b val="true"/>
      <sz val="9"/>
      <color rgb="FF1B335F"/>
      <name val="Arial"/>
      <family val="0"/>
      <charset val="1"/>
    </font>
    <font>
      <i val="true"/>
      <sz val="9"/>
      <color rgb="FF595959"/>
      <name val="Arial"/>
      <family val="0"/>
      <charset val="1"/>
    </font>
    <font>
      <sz val="10"/>
      <name val="Arial"/>
      <family val="2"/>
    </font>
    <font>
      <u val="single"/>
      <sz val="8"/>
      <color rgb="FF0563C1"/>
      <name val="Arial"/>
      <family val="0"/>
      <charset val="1"/>
    </font>
  </fonts>
  <fills count="7">
    <fill>
      <patternFill patternType="none"/>
    </fill>
    <fill>
      <patternFill patternType="gray125"/>
    </fill>
    <fill>
      <patternFill patternType="solid">
        <fgColor rgb="FF1B335F"/>
        <bgColor rgb="FF2F5497"/>
      </patternFill>
    </fill>
    <fill>
      <patternFill patternType="solid">
        <fgColor rgb="FFF7F9FC"/>
        <bgColor rgb="FFFFFFFF"/>
      </patternFill>
    </fill>
    <fill>
      <patternFill patternType="solid">
        <fgColor rgb="FF2F5497"/>
        <bgColor rgb="FF0563C1"/>
      </patternFill>
    </fill>
    <fill>
      <patternFill patternType="solid">
        <fgColor rgb="FFEEF2F8"/>
        <bgColor rgb="FFF7F9FC"/>
      </patternFill>
    </fill>
    <fill>
      <patternFill patternType="solid">
        <fgColor rgb="FFFFFF99"/>
        <bgColor rgb="FFFFF0B8"/>
      </patternFill>
    </fill>
  </fills>
  <borders count="2">
    <border diagonalUp="false" diagonalDown="false">
      <left/>
      <right/>
      <top/>
      <bottom/>
      <diagonal/>
    </border>
    <border diagonalUp="false" diagonalDown="false">
      <left style="thin">
        <color rgb="FFC7D0DF"/>
      </left>
      <right style="thin">
        <color rgb="FFC7D0DF"/>
      </right>
      <top style="thin">
        <color rgb="FFC7D0DF"/>
      </top>
      <bottom style="thin">
        <color rgb="FFC7D0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13"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335F"/>
          <bgColor rgb="FF000000"/>
        </patternFill>
      </fill>
    </dxf>
    <dxf>
      <fill>
        <patternFill patternType="solid">
          <fgColor rgb="FFFFFFFF"/>
          <bgColor rgb="FF000000"/>
        </patternFill>
      </fill>
    </dxf>
    <dxf>
      <font>
        <name val="Arial"/>
        <charset val="1"/>
        <family val="0"/>
        <b val="1"/>
        <color rgb="FF8B0000"/>
        <sz val="9"/>
      </font>
      <fill>
        <patternFill>
          <bgColor rgb="FFF4B7B7"/>
        </patternFill>
      </fill>
    </dxf>
    <dxf>
      <font>
        <name val="Arial"/>
        <charset val="1"/>
        <family val="0"/>
        <b val="1"/>
        <color rgb="FF8A4B00"/>
        <sz val="9"/>
      </font>
      <fill>
        <patternFill>
          <bgColor rgb="FFFBD9B5"/>
        </patternFill>
      </fill>
    </dxf>
    <dxf>
      <font>
        <name val="Arial"/>
        <charset val="1"/>
        <family val="0"/>
        <b val="1"/>
        <color rgb="FF6B5300"/>
        <sz val="9"/>
      </font>
      <fill>
        <patternFill>
          <bgColor rgb="FFFFF0B8"/>
        </patternFill>
      </fill>
    </dxf>
    <dxf>
      <font>
        <name val="Arial"/>
        <charset val="1"/>
        <family val="0"/>
        <b val="1"/>
        <color rgb="FF1E5B2A"/>
        <sz val="9"/>
      </font>
      <fill>
        <patternFill>
          <bgColor rgb="FFD8ECDC"/>
        </patternFill>
      </fill>
    </dxf>
  </dxfs>
  <colors>
    <indexedColors>
      <rgbColor rgb="FF000000"/>
      <rgbColor rgb="FFFFFFFF"/>
      <rgbColor rgb="FFFF0000"/>
      <rgbColor rgb="FF00FF00"/>
      <rgbColor rgb="FF0000FF"/>
      <rgbColor rgb="FFFFFF00"/>
      <rgbColor rgb="FFFF00FF"/>
      <rgbColor rgb="FF00FFFF"/>
      <rgbColor rgb="FF8B0000"/>
      <rgbColor rgb="FF008000"/>
      <rgbColor rgb="FF000080"/>
      <rgbColor rgb="FF9C6300"/>
      <rgbColor rgb="FF800080"/>
      <rgbColor rgb="FF008080"/>
      <rgbColor rgb="FFC0C0C0"/>
      <rgbColor rgb="FF808080"/>
      <rgbColor rgb="FF9999FF"/>
      <rgbColor rgb="FF993366"/>
      <rgbColor rgb="FFFFF0B8"/>
      <rgbColor rgb="FFEEF2F8"/>
      <rgbColor rgb="FF660066"/>
      <rgbColor rgb="FFFF8080"/>
      <rgbColor rgb="FF0563C1"/>
      <rgbColor rgb="FFC7D0DF"/>
      <rgbColor rgb="FF000080"/>
      <rgbColor rgb="FFFF00FF"/>
      <rgbColor rgb="FFFFFF00"/>
      <rgbColor rgb="FF00FFFF"/>
      <rgbColor rgb="FF800080"/>
      <rgbColor rgb="FF800000"/>
      <rgbColor rgb="FF008080"/>
      <rgbColor rgb="FF0000FF"/>
      <rgbColor rgb="FF00CCFF"/>
      <rgbColor rgb="FFF7F9FC"/>
      <rgbColor rgb="FFD8ECDC"/>
      <rgbColor rgb="FFFFFF99"/>
      <rgbColor rgb="FF99CCFF"/>
      <rgbColor rgb="FFF4B7B7"/>
      <rgbColor rgb="FFCC99FF"/>
      <rgbColor rgb="FFFBD9B5"/>
      <rgbColor rgb="FF3366FF"/>
      <rgbColor rgb="FF33CCCC"/>
      <rgbColor rgb="FF99CC00"/>
      <rgbColor rgb="FFFFCC00"/>
      <rgbColor rgb="FFFF9900"/>
      <rgbColor rgb="FFFF6600"/>
      <rgbColor rgb="FF595959"/>
      <rgbColor rgb="FF969696"/>
      <rgbColor rgb="FF1B335F"/>
      <rgbColor rgb="FF339966"/>
      <rgbColor rgb="FF003300"/>
      <rgbColor rgb="FF6B5300"/>
      <rgbColor rgb="FF8A4B00"/>
      <rgbColor rgb="FF993366"/>
      <rgbColor rgb="FF2F5497"/>
      <rgbColor rgb="FF1E5B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row>
    <row r="5" customFormat="false" ht="42" hidden="false" customHeight="true" outlineLevel="0" collapsed="false">
      <c r="A5" s="4" t="s">
        <v>4</v>
      </c>
      <c r="B5" s="4" t="s">
        <v>5</v>
      </c>
    </row>
    <row r="6" customFormat="false" ht="42" hidden="false" customHeight="true" outlineLevel="0" collapsed="false">
      <c r="A6" s="5" t="s">
        <v>6</v>
      </c>
      <c r="B6" s="5" t="s">
        <v>7</v>
      </c>
    </row>
    <row r="7" customFormat="false" ht="42" hidden="false" customHeight="true" outlineLevel="0" collapsed="false">
      <c r="A7" s="4" t="s">
        <v>8</v>
      </c>
      <c r="B7" s="4" t="s">
        <v>9</v>
      </c>
    </row>
    <row r="8" customFormat="false" ht="42" hidden="false" customHeight="true" outlineLevel="0" collapsed="false">
      <c r="A8" s="5" t="s">
        <v>10</v>
      </c>
      <c r="B8" s="5" t="s">
        <v>11</v>
      </c>
    </row>
    <row r="9" customFormat="false" ht="42" hidden="false" customHeight="true" outlineLevel="0" collapsed="false">
      <c r="A9" s="4" t="s">
        <v>12</v>
      </c>
      <c r="B9" s="4" t="s">
        <v>13</v>
      </c>
    </row>
    <row r="10" customFormat="false" ht="42" hidden="false" customHeight="true" outlineLevel="0" collapsed="false">
      <c r="A10" s="5" t="s">
        <v>14</v>
      </c>
      <c r="B10" s="5" t="s">
        <v>15</v>
      </c>
    </row>
    <row r="11" customFormat="false" ht="42" hidden="false" customHeight="true" outlineLevel="0" collapsed="false">
      <c r="A11" s="4" t="s">
        <v>16</v>
      </c>
      <c r="B11" s="4" t="s">
        <v>17</v>
      </c>
    </row>
    <row r="12" customFormat="false" ht="42" hidden="false" customHeight="true" outlineLevel="0" collapsed="false">
      <c r="A12" s="5" t="s">
        <v>18</v>
      </c>
      <c r="B12" s="5" t="s">
        <v>19</v>
      </c>
    </row>
    <row r="13" customFormat="false" ht="42" hidden="false" customHeight="true" outlineLevel="0" collapsed="false">
      <c r="A13" s="4" t="s">
        <v>20</v>
      </c>
      <c r="B13" s="4" t="s">
        <v>21</v>
      </c>
    </row>
    <row r="14" customFormat="false" ht="42" hidden="false" customHeight="true" outlineLevel="0" collapsed="false">
      <c r="A14" s="5" t="s">
        <v>22</v>
      </c>
      <c r="B14" s="5" t="s">
        <v>23</v>
      </c>
    </row>
    <row r="15" customFormat="false" ht="42" hidden="false" customHeight="true" outlineLevel="0" collapsed="false">
      <c r="A15" s="4" t="s">
        <v>24</v>
      </c>
      <c r="B15" s="4" t="s">
        <v>25</v>
      </c>
    </row>
  </sheetData>
  <autoFilter ref="A4:B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92"/>
  </cols>
  <sheetData>
    <row r="1" customFormat="false" ht="17.35" hidden="false" customHeight="false" outlineLevel="0" collapsed="false">
      <c r="A1" s="1" t="s">
        <v>26</v>
      </c>
    </row>
    <row r="2" customFormat="false" ht="15" hidden="false" customHeight="false" outlineLevel="0" collapsed="false">
      <c r="A2" s="2" t="s">
        <v>27</v>
      </c>
    </row>
    <row r="4" customFormat="false" ht="30" hidden="false" customHeight="true" outlineLevel="0" collapsed="false">
      <c r="A4" s="3" t="s">
        <v>28</v>
      </c>
      <c r="B4" s="3" t="s">
        <v>29</v>
      </c>
      <c r="C4" s="3" t="s">
        <v>30</v>
      </c>
    </row>
    <row r="5" customFormat="false" ht="30" hidden="false" customHeight="true" outlineLevel="0" collapsed="false">
      <c r="A5" s="4" t="s">
        <v>31</v>
      </c>
      <c r="B5" s="6" t="n">
        <f aca="false">COUNTA('Requirements Register'!A5:A200)</f>
        <v>45</v>
      </c>
      <c r="C5" s="4" t="s">
        <v>32</v>
      </c>
    </row>
    <row r="6" customFormat="false" ht="30" hidden="false" customHeight="true" outlineLevel="0" collapsed="false">
      <c r="A6" s="5" t="s">
        <v>33</v>
      </c>
      <c r="B6" s="7" t="n">
        <f aca="false">COUNTIF('Requirements Register'!I5:I200,"Yes")</f>
        <v>5</v>
      </c>
      <c r="C6" s="5" t="s">
        <v>34</v>
      </c>
    </row>
    <row r="7" customFormat="false" ht="30" hidden="false" customHeight="true" outlineLevel="0" collapsed="false">
      <c r="A7" s="4" t="s">
        <v>35</v>
      </c>
      <c r="B7" s="6" t="n">
        <f aca="false">COUNTIF('Requirements Register'!J5:J200,"Yes")</f>
        <v>7</v>
      </c>
      <c r="C7" s="4" t="s">
        <v>36</v>
      </c>
    </row>
    <row r="8" customFormat="false" ht="30" hidden="false" customHeight="true" outlineLevel="0" collapsed="false">
      <c r="A8" s="5" t="s">
        <v>37</v>
      </c>
      <c r="B8" s="7" t="n">
        <f aca="false">COUNTA(Traceability!A5:A200)</f>
        <v>146</v>
      </c>
      <c r="C8" s="5" t="s">
        <v>38</v>
      </c>
    </row>
    <row r="9" customFormat="false" ht="30" hidden="false" customHeight="true" outlineLevel="0" collapsed="false">
      <c r="A9" s="4" t="s">
        <v>39</v>
      </c>
      <c r="B9" s="6" t="n">
        <f aca="false">COUNTA('Gap Assessment'!A5:A39)</f>
        <v>35</v>
      </c>
      <c r="C9" s="4" t="s">
        <v>40</v>
      </c>
    </row>
    <row r="10" customFormat="false" ht="30" hidden="false" customHeight="true" outlineLevel="0" collapsed="false">
      <c r="A10" s="5" t="s">
        <v>41</v>
      </c>
      <c r="B10" s="7" t="n">
        <f aca="false">ROUND(AVERAGE('Gap Assessment'!H5:H39),2)</f>
        <v>2.28</v>
      </c>
      <c r="C10" s="5" t="s">
        <v>42</v>
      </c>
    </row>
    <row r="11" customFormat="false" ht="30" hidden="false" customHeight="true" outlineLevel="0" collapsed="false">
      <c r="A11" s="4" t="s">
        <v>43</v>
      </c>
      <c r="B11" s="6" t="n">
        <f aca="false">ROUND(AVERAGE('Gap Assessment'!L5:L39),2)</f>
        <v>4.41</v>
      </c>
      <c r="C11" s="4" t="s">
        <v>44</v>
      </c>
    </row>
    <row r="12" customFormat="false" ht="30" hidden="false" customHeight="true" outlineLevel="0" collapsed="false">
      <c r="A12" s="5" t="s">
        <v>45</v>
      </c>
      <c r="B12" s="7" t="n">
        <f aca="false">COUNTIF('Gap Assessment'!K5:K39,"Critical")</f>
        <v>4</v>
      </c>
      <c r="C12" s="5" t="s">
        <v>46</v>
      </c>
    </row>
    <row r="13" customFormat="false" ht="30" hidden="false" customHeight="true" outlineLevel="0" collapsed="false">
      <c r="A13" s="4" t="s">
        <v>47</v>
      </c>
      <c r="B13" s="6" t="n">
        <f aca="false">COUNTIF('Gap Assessment'!K5:K39,"High")</f>
        <v>17</v>
      </c>
      <c r="C13" s="4" t="s">
        <v>48</v>
      </c>
    </row>
    <row r="14" customFormat="false" ht="30" hidden="false" customHeight="true" outlineLevel="0" collapsed="false">
      <c r="A14" s="5" t="s">
        <v>49</v>
      </c>
      <c r="B14" s="7" t="n">
        <f aca="false">COUNTA('Red Team Audit'!A5:A200)</f>
        <v>66</v>
      </c>
      <c r="C14" s="5" t="s">
        <v>50</v>
      </c>
    </row>
    <row r="15" customFormat="false" ht="30" hidden="false" customHeight="true" outlineLevel="0" collapsed="false">
      <c r="A15" s="4" t="s">
        <v>51</v>
      </c>
      <c r="B15" s="6" t="n">
        <f aca="false">COUNTIF('Red Team Audit'!G5:G200,"High")</f>
        <v>39</v>
      </c>
      <c r="C15" s="4" t="s">
        <v>52</v>
      </c>
    </row>
    <row r="16" customFormat="false" ht="30" hidden="false" customHeight="true" outlineLevel="0" collapsed="false">
      <c r="A16" s="5" t="s">
        <v>53</v>
      </c>
      <c r="B16" s="7" t="n">
        <f aca="false">COUNTA('Source Register'!A5:A200)</f>
        <v>50</v>
      </c>
      <c r="C16" s="5" t="s">
        <v>54</v>
      </c>
    </row>
    <row r="17" customFormat="false" ht="30" hidden="false" customHeight="true" outlineLevel="0" collapsed="false">
      <c r="A17" s="4" t="s">
        <v>55</v>
      </c>
      <c r="B17" s="6" t="n">
        <f aca="false">COUNTIF('Source Register'!I5:I200,"Verified — primary source")</f>
        <v>43</v>
      </c>
      <c r="C17" s="4" t="s">
        <v>56</v>
      </c>
    </row>
    <row r="18" customFormat="false" ht="30" hidden="false" customHeight="true" outlineLevel="0" collapsed="false">
      <c r="A18" s="5" t="s">
        <v>57</v>
      </c>
      <c r="B18" s="7" t="n">
        <f aca="false">COUNTIF('Source Register'!I5:I200,"Unverified — not independently confirmed")</f>
        <v>0</v>
      </c>
      <c r="C18" s="5" t="s">
        <v>58</v>
      </c>
    </row>
    <row r="20" customFormat="false" ht="18" hidden="false" customHeight="true" outlineLevel="0" collapsed="false">
      <c r="A20" s="8" t="s">
        <v>59</v>
      </c>
      <c r="B20" s="9"/>
      <c r="C20" s="9"/>
    </row>
    <row r="21" customFormat="false" ht="43.5" hidden="false" customHeight="true" outlineLevel="0" collapsed="false">
      <c r="A21" s="4" t="s">
        <v>60</v>
      </c>
      <c r="B21" s="4" t="s">
        <v>61</v>
      </c>
      <c r="C21" s="4"/>
    </row>
    <row r="22" customFormat="false" ht="43.5" hidden="false" customHeight="true" outlineLevel="0" collapsed="false">
      <c r="A22" s="5" t="s">
        <v>62</v>
      </c>
      <c r="B22" s="5" t="s">
        <v>63</v>
      </c>
      <c r="C22" s="5"/>
    </row>
    <row r="23" customFormat="false" ht="43.5" hidden="false" customHeight="true" outlineLevel="0" collapsed="false">
      <c r="A23" s="4" t="s">
        <v>64</v>
      </c>
      <c r="B23" s="4" t="s">
        <v>65</v>
      </c>
      <c r="C23" s="4"/>
    </row>
    <row r="24" customFormat="false" ht="43.5" hidden="false" customHeight="true" outlineLevel="0" collapsed="false">
      <c r="A24" s="5" t="s">
        <v>66</v>
      </c>
      <c r="B24" s="5" t="s">
        <v>67</v>
      </c>
      <c r="C24" s="5"/>
    </row>
    <row r="25" customFormat="false" ht="43.5" hidden="false" customHeight="true" outlineLevel="0" collapsed="false">
      <c r="A25" s="4" t="s">
        <v>68</v>
      </c>
      <c r="B25" s="4" t="s">
        <v>69</v>
      </c>
      <c r="C25" s="4"/>
    </row>
    <row r="26" customFormat="false" ht="43.5" hidden="false" customHeight="true" outlineLevel="0" collapsed="false">
      <c r="A26" s="5" t="s">
        <v>70</v>
      </c>
      <c r="B26" s="5" t="s">
        <v>71</v>
      </c>
      <c r="C26" s="5"/>
    </row>
  </sheetData>
  <autoFilter ref="A4:C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C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30"/>
    <col collapsed="false" customWidth="true" hidden="false" outlineLevel="0" max="3" min="3" style="0" width="78"/>
  </cols>
  <sheetData>
    <row r="1" customFormat="false" ht="17.35" hidden="false" customHeight="false" outlineLevel="0" collapsed="false">
      <c r="A1" s="1" t="s">
        <v>72</v>
      </c>
    </row>
    <row r="2" customFormat="false" ht="15" hidden="false" customHeight="false" outlineLevel="0" collapsed="false">
      <c r="A2" s="2" t="s">
        <v>73</v>
      </c>
    </row>
    <row r="4" customFormat="false" ht="30" hidden="false" customHeight="true" outlineLevel="0" collapsed="false">
      <c r="A4" s="3" t="s">
        <v>74</v>
      </c>
      <c r="B4" s="3" t="s">
        <v>75</v>
      </c>
    </row>
    <row r="5" customFormat="false" ht="45.75" hidden="false" customHeight="true" outlineLevel="0" collapsed="false">
      <c r="A5" s="4" t="s">
        <v>76</v>
      </c>
      <c r="B5" s="4" t="s">
        <v>77</v>
      </c>
    </row>
    <row r="6" customFormat="false" ht="45.75" hidden="false" customHeight="true" outlineLevel="0" collapsed="false">
      <c r="A6" s="5" t="s">
        <v>78</v>
      </c>
      <c r="B6" s="5" t="s">
        <v>79</v>
      </c>
    </row>
    <row r="7" customFormat="false" ht="45.75" hidden="false" customHeight="true" outlineLevel="0" collapsed="false">
      <c r="A7" s="4" t="s">
        <v>80</v>
      </c>
      <c r="B7" s="4" t="s">
        <v>81</v>
      </c>
    </row>
    <row r="8" customFormat="false" ht="45.75" hidden="false" customHeight="true" outlineLevel="0" collapsed="false">
      <c r="A8" s="5" t="s">
        <v>82</v>
      </c>
      <c r="B8" s="5" t="s">
        <v>83</v>
      </c>
    </row>
    <row r="10" customFormat="false" ht="18" hidden="false" customHeight="true" outlineLevel="0" collapsed="false">
      <c r="A10" s="8" t="s">
        <v>84</v>
      </c>
      <c r="B10" s="9"/>
    </row>
    <row r="11" customFormat="false" ht="15" hidden="false" customHeight="false" outlineLevel="0" collapsed="false">
      <c r="A11" s="4" t="s">
        <v>85</v>
      </c>
      <c r="B11" s="4" t="s">
        <v>86</v>
      </c>
    </row>
    <row r="12" customFormat="false" ht="15" hidden="false" customHeight="false" outlineLevel="0" collapsed="false">
      <c r="A12" s="5" t="s">
        <v>87</v>
      </c>
      <c r="B12" s="5" t="s">
        <v>88</v>
      </c>
    </row>
    <row r="13" customFormat="false" ht="22.35" hidden="false" customHeight="false" outlineLevel="0" collapsed="false">
      <c r="A13" s="4" t="s">
        <v>89</v>
      </c>
      <c r="B13" s="4" t="s">
        <v>90</v>
      </c>
    </row>
    <row r="14" customFormat="false" ht="15" hidden="false" customHeight="false" outlineLevel="0" collapsed="false">
      <c r="A14" s="5" t="s">
        <v>91</v>
      </c>
      <c r="B14" s="5" t="s">
        <v>92</v>
      </c>
    </row>
    <row r="16" customFormat="false" ht="18" hidden="false" customHeight="true" outlineLevel="0" collapsed="false">
      <c r="A16" s="8" t="s">
        <v>93</v>
      </c>
      <c r="B16" s="9"/>
    </row>
    <row r="17" customFormat="false" ht="15" hidden="false" customHeight="false" outlineLevel="0" collapsed="false">
      <c r="A17" s="10" t="s">
        <v>94</v>
      </c>
      <c r="B17" s="10" t="s">
        <v>95</v>
      </c>
    </row>
    <row r="18" customFormat="false" ht="30" hidden="false" customHeight="true" outlineLevel="0" collapsed="false">
      <c r="A18" s="11" t="s">
        <v>96</v>
      </c>
      <c r="B18" s="12" t="s">
        <v>97</v>
      </c>
    </row>
    <row r="19" customFormat="false" ht="30" hidden="false" customHeight="true" outlineLevel="0" collapsed="false">
      <c r="A19" s="11" t="s">
        <v>98</v>
      </c>
      <c r="B19" s="12" t="s">
        <v>99</v>
      </c>
    </row>
    <row r="20" customFormat="false" ht="30" hidden="false" customHeight="true" outlineLevel="0" collapsed="false">
      <c r="A20" s="11" t="s">
        <v>100</v>
      </c>
      <c r="B20" s="12" t="s">
        <v>101</v>
      </c>
    </row>
    <row r="21" customFormat="false" ht="30" hidden="false" customHeight="true" outlineLevel="0" collapsed="false">
      <c r="A21" s="11" t="s">
        <v>102</v>
      </c>
      <c r="B21" s="12" t="s">
        <v>103</v>
      </c>
    </row>
    <row r="22" customFormat="false" ht="30" hidden="false" customHeight="true" outlineLevel="0" collapsed="false">
      <c r="A22" s="11" t="s">
        <v>104</v>
      </c>
      <c r="B22" s="12" t="s">
        <v>105</v>
      </c>
    </row>
    <row r="23" customFormat="false" ht="30" hidden="false" customHeight="true" outlineLevel="0" collapsed="false">
      <c r="A23" s="11" t="s">
        <v>106</v>
      </c>
      <c r="B23" s="12" t="s">
        <v>107</v>
      </c>
    </row>
    <row r="25" customFormat="false" ht="18" hidden="false" customHeight="true" outlineLevel="0" collapsed="false">
      <c r="A25" s="8" t="s">
        <v>108</v>
      </c>
      <c r="B25" s="9"/>
    </row>
    <row r="26" customFormat="false" ht="31.5" hidden="false" customHeight="true" outlineLevel="0" collapsed="false">
      <c r="A26" s="4" t="s">
        <v>109</v>
      </c>
      <c r="B26" s="4" t="s">
        <v>110</v>
      </c>
    </row>
    <row r="27" customFormat="false" ht="31.5" hidden="false" customHeight="true" outlineLevel="0" collapsed="false">
      <c r="A27" s="5" t="s">
        <v>111</v>
      </c>
      <c r="B27" s="5" t="s">
        <v>112</v>
      </c>
    </row>
    <row r="28" customFormat="false" ht="31.5" hidden="false" customHeight="true" outlineLevel="0" collapsed="false">
      <c r="A28" s="4" t="s">
        <v>113</v>
      </c>
      <c r="B28" s="4" t="s">
        <v>114</v>
      </c>
    </row>
    <row r="29" customFormat="false" ht="31.5" hidden="false" customHeight="true" outlineLevel="0" collapsed="false">
      <c r="A29" s="5" t="s">
        <v>115</v>
      </c>
      <c r="B29" s="5" t="s">
        <v>116</v>
      </c>
    </row>
    <row r="30" customFormat="false" ht="31.5" hidden="false" customHeight="true" outlineLevel="0" collapsed="false">
      <c r="A30" s="4" t="s">
        <v>117</v>
      </c>
      <c r="B30" s="4" t="s">
        <v>118</v>
      </c>
    </row>
    <row r="32" customFormat="false" ht="18" hidden="false" customHeight="true" outlineLevel="0" collapsed="false">
      <c r="A32" s="8" t="s">
        <v>119</v>
      </c>
      <c r="B32" s="9"/>
    </row>
    <row r="33" customFormat="false" ht="15" hidden="false" customHeight="false" outlineLevel="0" collapsed="false">
      <c r="A33" s="10" t="s">
        <v>120</v>
      </c>
      <c r="B33" s="10" t="s">
        <v>121</v>
      </c>
      <c r="C33" s="10" t="s">
        <v>95</v>
      </c>
    </row>
    <row r="34" customFormat="false" ht="30" hidden="false" customHeight="true" outlineLevel="0" collapsed="false">
      <c r="A34" s="11" t="s">
        <v>122</v>
      </c>
      <c r="B34" s="13" t="n">
        <v>4.5</v>
      </c>
      <c r="C34" s="12" t="s">
        <v>123</v>
      </c>
    </row>
    <row r="35" customFormat="false" ht="30" hidden="false" customHeight="true" outlineLevel="0" collapsed="false">
      <c r="A35" s="11" t="s">
        <v>124</v>
      </c>
      <c r="B35" s="13" t="n">
        <v>3</v>
      </c>
      <c r="C35" s="12" t="s">
        <v>125</v>
      </c>
    </row>
    <row r="36" customFormat="false" ht="30" hidden="false" customHeight="true" outlineLevel="0" collapsed="false">
      <c r="A36" s="11" t="s">
        <v>126</v>
      </c>
      <c r="B36" s="13" t="n">
        <v>1.5</v>
      </c>
      <c r="C36" s="12" t="s">
        <v>127</v>
      </c>
    </row>
    <row r="37" customFormat="false" ht="30" hidden="false" customHeight="true" outlineLevel="0" collapsed="false">
      <c r="A37" s="11" t="s">
        <v>128</v>
      </c>
      <c r="B37" s="13" t="n">
        <v>0</v>
      </c>
      <c r="C37" s="12" t="s">
        <v>129</v>
      </c>
    </row>
    <row r="39" customFormat="false" ht="18" hidden="false" customHeight="true" outlineLevel="0" collapsed="false">
      <c r="A39" s="8" t="s">
        <v>130</v>
      </c>
      <c r="B39" s="9"/>
    </row>
    <row r="40" customFormat="false" ht="15" hidden="false" customHeight="false" outlineLevel="0" collapsed="false">
      <c r="A40" s="10" t="s">
        <v>131</v>
      </c>
      <c r="B40" s="10" t="s">
        <v>132</v>
      </c>
      <c r="C40" s="10" t="s">
        <v>133</v>
      </c>
    </row>
    <row r="41" customFormat="false" ht="15" hidden="false" customHeight="false" outlineLevel="0" collapsed="false">
      <c r="A41" s="12" t="s">
        <v>134</v>
      </c>
      <c r="B41" s="13" t="n">
        <v>1.5</v>
      </c>
      <c r="C41" s="12" t="s">
        <v>135</v>
      </c>
    </row>
    <row r="42" customFormat="false" ht="15" hidden="false" customHeight="false" outlineLevel="0" collapsed="false">
      <c r="A42" s="12" t="s">
        <v>136</v>
      </c>
      <c r="B42" s="13" t="n">
        <v>1.25</v>
      </c>
      <c r="C42" s="12" t="s">
        <v>137</v>
      </c>
    </row>
    <row r="43" customFormat="false" ht="15" hidden="false" customHeight="false" outlineLevel="0" collapsed="false">
      <c r="A43" s="12" t="s">
        <v>138</v>
      </c>
      <c r="B43" s="13" t="n">
        <v>1.25</v>
      </c>
      <c r="C43" s="12" t="s">
        <v>137</v>
      </c>
    </row>
    <row r="44" customFormat="false" ht="15" hidden="false" customHeight="false" outlineLevel="0" collapsed="false">
      <c r="A44" s="12" t="s">
        <v>139</v>
      </c>
      <c r="B44" s="13" t="n">
        <v>1.25</v>
      </c>
      <c r="C44" s="12" t="s">
        <v>137</v>
      </c>
    </row>
    <row r="45" customFormat="false" ht="15" hidden="false" customHeight="false" outlineLevel="0" collapsed="false">
      <c r="A45" s="12" t="s">
        <v>140</v>
      </c>
      <c r="B45" s="13" t="n">
        <v>1.5</v>
      </c>
      <c r="C45" s="12" t="s">
        <v>135</v>
      </c>
    </row>
    <row r="46" customFormat="false" ht="15" hidden="false" customHeight="false" outlineLevel="0" collapsed="false">
      <c r="A46" s="12" t="s">
        <v>141</v>
      </c>
      <c r="B46" s="13" t="n">
        <v>1.25</v>
      </c>
      <c r="C46" s="12" t="s">
        <v>137</v>
      </c>
    </row>
    <row r="47" customFormat="false" ht="15" hidden="false" customHeight="false" outlineLevel="0" collapsed="false">
      <c r="A47" s="12" t="s">
        <v>142</v>
      </c>
      <c r="B47" s="13" t="n">
        <v>1.25</v>
      </c>
      <c r="C47" s="12" t="s">
        <v>137</v>
      </c>
    </row>
    <row r="48" customFormat="false" ht="15" hidden="false" customHeight="false" outlineLevel="0" collapsed="false">
      <c r="A48" s="12" t="s">
        <v>143</v>
      </c>
      <c r="B48" s="13" t="n">
        <v>1</v>
      </c>
      <c r="C48" s="12" t="s">
        <v>144</v>
      </c>
    </row>
    <row r="49" customFormat="false" ht="15" hidden="false" customHeight="false" outlineLevel="0" collapsed="false">
      <c r="A49" s="12" t="s">
        <v>145</v>
      </c>
      <c r="B49" s="13" t="n">
        <v>1.25</v>
      </c>
      <c r="C49" s="12" t="s">
        <v>137</v>
      </c>
    </row>
    <row r="50" customFormat="false" ht="15" hidden="false" customHeight="false" outlineLevel="0" collapsed="false">
      <c r="A50" s="12" t="s">
        <v>146</v>
      </c>
      <c r="B50" s="13" t="n">
        <v>1.25</v>
      </c>
      <c r="C50" s="12" t="s">
        <v>137</v>
      </c>
    </row>
    <row r="51" customFormat="false" ht="15" hidden="false" customHeight="false" outlineLevel="0" collapsed="false">
      <c r="A51" s="12" t="s">
        <v>147</v>
      </c>
      <c r="B51" s="13" t="n">
        <v>1</v>
      </c>
      <c r="C51" s="12" t="s">
        <v>144</v>
      </c>
    </row>
    <row r="52" customFormat="false" ht="15" hidden="false" customHeight="false" outlineLevel="0" collapsed="false">
      <c r="A52" s="12" t="s">
        <v>148</v>
      </c>
      <c r="B52" s="13" t="n">
        <v>1.25</v>
      </c>
      <c r="C52" s="12" t="s">
        <v>137</v>
      </c>
    </row>
    <row r="53" customFormat="false" ht="15" hidden="false" customHeight="false" outlineLevel="0" collapsed="false">
      <c r="A53" s="12" t="s">
        <v>149</v>
      </c>
      <c r="B53" s="13" t="n">
        <v>1.5</v>
      </c>
      <c r="C53" s="12" t="s">
        <v>135</v>
      </c>
    </row>
    <row r="54" customFormat="false" ht="15" hidden="false" customHeight="false" outlineLevel="0" collapsed="false">
      <c r="A54" s="12" t="s">
        <v>150</v>
      </c>
      <c r="B54" s="13" t="n">
        <v>1.5</v>
      </c>
      <c r="C54" s="12" t="s">
        <v>135</v>
      </c>
    </row>
    <row r="55" customFormat="false" ht="15" hidden="false" customHeight="false" outlineLevel="0" collapsed="false">
      <c r="A55" s="12" t="s">
        <v>151</v>
      </c>
      <c r="B55" s="13" t="n">
        <v>1</v>
      </c>
      <c r="C55" s="12" t="s">
        <v>144</v>
      </c>
    </row>
    <row r="56" customFormat="false" ht="15" hidden="false" customHeight="false" outlineLevel="0" collapsed="false">
      <c r="A56" s="12" t="s">
        <v>152</v>
      </c>
      <c r="B56" s="13" t="n">
        <v>1</v>
      </c>
      <c r="C56" s="12" t="s">
        <v>144</v>
      </c>
    </row>
    <row r="57" customFormat="false" ht="15" hidden="false" customHeight="false" outlineLevel="0" collapsed="false">
      <c r="A57" s="12" t="s">
        <v>153</v>
      </c>
      <c r="B57" s="13" t="n">
        <v>1.25</v>
      </c>
      <c r="C57" s="12" t="s">
        <v>137</v>
      </c>
    </row>
    <row r="58" customFormat="false" ht="15" hidden="false" customHeight="false" outlineLevel="0" collapsed="false">
      <c r="A58" s="12" t="s">
        <v>154</v>
      </c>
      <c r="B58" s="13" t="n">
        <v>1.25</v>
      </c>
      <c r="C58" s="12" t="s">
        <v>137</v>
      </c>
    </row>
    <row r="59" customFormat="false" ht="15" hidden="false" customHeight="false" outlineLevel="0" collapsed="false">
      <c r="A59" s="12" t="s">
        <v>155</v>
      </c>
      <c r="B59" s="13" t="n">
        <v>1.25</v>
      </c>
      <c r="C59" s="12" t="s">
        <v>137</v>
      </c>
    </row>
    <row r="60" customFormat="false" ht="15" hidden="false" customHeight="false" outlineLevel="0" collapsed="false">
      <c r="A60" s="12" t="s">
        <v>156</v>
      </c>
      <c r="B60" s="13" t="n">
        <v>1.25</v>
      </c>
      <c r="C60" s="12" t="s">
        <v>137</v>
      </c>
    </row>
    <row r="61" customFormat="false" ht="15" hidden="false" customHeight="false" outlineLevel="0" collapsed="false">
      <c r="A61" s="12" t="s">
        <v>157</v>
      </c>
      <c r="B61" s="13" t="n">
        <v>1</v>
      </c>
      <c r="C61" s="12" t="s">
        <v>144</v>
      </c>
    </row>
    <row r="62" customFormat="false" ht="15" hidden="false" customHeight="false" outlineLevel="0" collapsed="false">
      <c r="A62" s="12" t="s">
        <v>158</v>
      </c>
      <c r="B62" s="13" t="n">
        <v>0.75</v>
      </c>
      <c r="C62" s="12" t="s">
        <v>159</v>
      </c>
    </row>
    <row r="63" customFormat="false" ht="15" hidden="false" customHeight="false" outlineLevel="0" collapsed="false">
      <c r="A63" s="12" t="s">
        <v>160</v>
      </c>
      <c r="B63" s="13" t="n">
        <v>1.25</v>
      </c>
      <c r="C63" s="12" t="s">
        <v>137</v>
      </c>
    </row>
    <row r="64" customFormat="false" ht="15" hidden="false" customHeight="false" outlineLevel="0" collapsed="false">
      <c r="A64" s="12" t="s">
        <v>161</v>
      </c>
      <c r="B64" s="13" t="n">
        <v>1</v>
      </c>
      <c r="C64" s="12" t="s">
        <v>144</v>
      </c>
    </row>
    <row r="65" customFormat="false" ht="15" hidden="false" customHeight="false" outlineLevel="0" collapsed="false">
      <c r="A65" s="12" t="s">
        <v>162</v>
      </c>
      <c r="B65" s="13" t="n">
        <v>1.25</v>
      </c>
      <c r="C65" s="12" t="s">
        <v>137</v>
      </c>
    </row>
    <row r="66" customFormat="false" ht="15" hidden="false" customHeight="false" outlineLevel="0" collapsed="false">
      <c r="A66" s="12" t="s">
        <v>163</v>
      </c>
      <c r="B66" s="13" t="n">
        <v>1.5</v>
      </c>
      <c r="C66" s="12" t="s">
        <v>135</v>
      </c>
    </row>
    <row r="67" customFormat="false" ht="15" hidden="false" customHeight="false" outlineLevel="0" collapsed="false">
      <c r="A67" s="12" t="s">
        <v>164</v>
      </c>
      <c r="B67" s="13" t="n">
        <v>1.25</v>
      </c>
      <c r="C67" s="12" t="s">
        <v>137</v>
      </c>
    </row>
    <row r="68" customFormat="false" ht="15" hidden="false" customHeight="false" outlineLevel="0" collapsed="false">
      <c r="A68" s="12" t="s">
        <v>165</v>
      </c>
      <c r="B68" s="13" t="n">
        <v>1.5</v>
      </c>
      <c r="C68" s="12" t="s">
        <v>135</v>
      </c>
    </row>
    <row r="69" customFormat="false" ht="15" hidden="false" customHeight="false" outlineLevel="0" collapsed="false">
      <c r="A69" s="12" t="s">
        <v>166</v>
      </c>
      <c r="B69" s="13" t="n">
        <v>1.25</v>
      </c>
      <c r="C69" s="12" t="s">
        <v>137</v>
      </c>
    </row>
    <row r="70" customFormat="false" ht="15" hidden="false" customHeight="false" outlineLevel="0" collapsed="false">
      <c r="A70" s="12" t="s">
        <v>167</v>
      </c>
      <c r="B70" s="13" t="n">
        <v>1.25</v>
      </c>
      <c r="C70" s="12" t="s">
        <v>137</v>
      </c>
    </row>
    <row r="71" customFormat="false" ht="15" hidden="false" customHeight="false" outlineLevel="0" collapsed="false">
      <c r="A71" s="12" t="s">
        <v>168</v>
      </c>
      <c r="B71" s="13" t="n">
        <v>1</v>
      </c>
      <c r="C71" s="12" t="s">
        <v>144</v>
      </c>
    </row>
    <row r="72" customFormat="false" ht="15" hidden="false" customHeight="false" outlineLevel="0" collapsed="false">
      <c r="A72" s="12" t="s">
        <v>169</v>
      </c>
      <c r="B72" s="13" t="n">
        <v>1.25</v>
      </c>
      <c r="C72" s="12" t="s">
        <v>137</v>
      </c>
    </row>
    <row r="73" customFormat="false" ht="15" hidden="false" customHeight="false" outlineLevel="0" collapsed="false">
      <c r="A73" s="12" t="s">
        <v>170</v>
      </c>
      <c r="B73" s="13" t="n">
        <v>1</v>
      </c>
      <c r="C73" s="12" t="s">
        <v>144</v>
      </c>
    </row>
    <row r="74" customFormat="false" ht="15" hidden="false" customHeight="false" outlineLevel="0" collapsed="false">
      <c r="A74" s="12" t="s">
        <v>171</v>
      </c>
      <c r="B74" s="13" t="n">
        <v>1.25</v>
      </c>
      <c r="C74" s="12" t="s">
        <v>137</v>
      </c>
    </row>
    <row r="75" customFormat="false" ht="15" hidden="false" customHeight="false" outlineLevel="0" collapsed="false">
      <c r="A75" s="12" t="s">
        <v>172</v>
      </c>
      <c r="B75" s="13" t="n">
        <v>1</v>
      </c>
      <c r="C75" s="12" t="s">
        <v>144</v>
      </c>
    </row>
    <row r="77" customFormat="false" ht="15" hidden="false" customHeight="false" outlineLevel="0" collapsed="false">
      <c r="A77" s="14" t="s">
        <v>173</v>
      </c>
    </row>
    <row r="78" customFormat="false" ht="61.5" hidden="false" customHeight="true" outlineLevel="0" collapsed="false">
      <c r="A78" s="15" t="s">
        <v>174</v>
      </c>
      <c r="B78" s="15"/>
      <c r="C78" s="15"/>
    </row>
    <row r="80" customFormat="false" ht="15" hidden="false" customHeight="false" outlineLevel="0" collapsed="false">
      <c r="A80" s="14" t="s">
        <v>175</v>
      </c>
    </row>
    <row r="81" customFormat="false" ht="30" hidden="false" customHeight="true" outlineLevel="0" collapsed="false">
      <c r="A81" s="15" t="s">
        <v>176</v>
      </c>
      <c r="B81" s="15"/>
      <c r="C81" s="15"/>
    </row>
    <row r="82" customFormat="false" ht="30" hidden="false" customHeight="true" outlineLevel="0" collapsed="false">
      <c r="A82" s="15" t="s">
        <v>177</v>
      </c>
      <c r="B82" s="15"/>
      <c r="C82" s="15"/>
    </row>
    <row r="83" customFormat="false" ht="30" hidden="false" customHeight="true" outlineLevel="0" collapsed="false">
      <c r="A83" s="15" t="s">
        <v>178</v>
      </c>
      <c r="B83" s="15"/>
      <c r="C83" s="15"/>
    </row>
    <row r="84" customFormat="false" ht="30" hidden="false" customHeight="true" outlineLevel="0" collapsed="false">
      <c r="A84" s="15" t="s">
        <v>179</v>
      </c>
      <c r="B84" s="15"/>
      <c r="C84" s="15"/>
    </row>
  </sheetData>
  <autoFilter ref="A4:B4"/>
  <mergeCells count="5">
    <mergeCell ref="A78:C78"/>
    <mergeCell ref="A81:C81"/>
    <mergeCell ref="A82:C82"/>
    <mergeCell ref="A83:C83"/>
    <mergeCell ref="A84:C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O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8"/>
    <col collapsed="false" customWidth="true" hidden="false" outlineLevel="0" max="7" min="7" style="0" width="20"/>
    <col collapsed="false" customWidth="true" hidden="false" outlineLevel="0" max="11" min="8" style="0" width="11"/>
    <col collapsed="false" customWidth="true" hidden="false" outlineLevel="0" max="12" min="12" style="0" width="12"/>
    <col collapsed="false" customWidth="true" hidden="false" outlineLevel="0" max="13" min="13" style="0" width="9"/>
    <col collapsed="false" customWidth="true" hidden="false" outlineLevel="0" max="14" min="14" style="0" width="20"/>
    <col collapsed="false" customWidth="true" hidden="false" outlineLevel="0" max="15" min="15" style="0" width="26"/>
  </cols>
  <sheetData>
    <row r="1" customFormat="false" ht="17.35" hidden="false" customHeight="false" outlineLevel="0" collapsed="false">
      <c r="A1" s="1" t="s">
        <v>180</v>
      </c>
    </row>
    <row r="2" customFormat="false" ht="15" hidden="false" customHeight="false" outlineLevel="0" collapsed="false">
      <c r="A2" s="2" t="s">
        <v>181</v>
      </c>
    </row>
    <row r="4" customFormat="false" ht="30" hidden="false" customHeight="true" outlineLevel="0" collapsed="false">
      <c r="A4" s="3" t="s">
        <v>131</v>
      </c>
      <c r="B4" s="3" t="s">
        <v>85</v>
      </c>
      <c r="C4" s="3" t="s">
        <v>87</v>
      </c>
      <c r="D4" s="3" t="s">
        <v>89</v>
      </c>
      <c r="E4" s="3" t="s">
        <v>91</v>
      </c>
      <c r="F4" s="3" t="s">
        <v>132</v>
      </c>
      <c r="G4" s="3" t="s">
        <v>182</v>
      </c>
      <c r="H4" s="3" t="s">
        <v>183</v>
      </c>
      <c r="I4" s="3" t="s">
        <v>111</v>
      </c>
      <c r="J4" s="3" t="s">
        <v>115</v>
      </c>
      <c r="K4" s="3" t="s">
        <v>184</v>
      </c>
      <c r="L4" s="3" t="s">
        <v>185</v>
      </c>
      <c r="M4" s="3" t="s">
        <v>186</v>
      </c>
      <c r="N4" s="3" t="s">
        <v>187</v>
      </c>
      <c r="O4" s="3" t="s">
        <v>188</v>
      </c>
    </row>
    <row r="5" customFormat="false" ht="30" hidden="false" customHeight="true" outlineLevel="0" collapsed="false">
      <c r="A5" s="4" t="s">
        <v>134</v>
      </c>
      <c r="B5" s="16" t="n">
        <v>1</v>
      </c>
      <c r="C5" s="16" t="n">
        <v>1</v>
      </c>
      <c r="D5" s="16" t="n">
        <v>2</v>
      </c>
      <c r="E5" s="16" t="n">
        <v>1</v>
      </c>
      <c r="F5" s="17" t="n">
        <f aca="false">'Scoring Methodology'!$B$41</f>
        <v>1.5</v>
      </c>
      <c r="G5" s="4" t="s">
        <v>189</v>
      </c>
      <c r="H5" s="17" t="n">
        <f aca="false">ROUND(AVERAGE(B5:E5),2)</f>
        <v>1.25</v>
      </c>
      <c r="I5" s="17" t="n">
        <v>5</v>
      </c>
      <c r="J5" s="17" t="n">
        <f aca="false">ROUND(MAX(0,I5-H5)*F5,2)</f>
        <v>5.63</v>
      </c>
      <c r="K5" s="18" t="str">
        <f aca="false">IF(J5&gt;='Scoring Methodology'!$B$34,"Critical",IF(J5&gt;='Scoring Methodology'!$B$35,"High",IF(J5&gt;='Scoring Methodology'!$B$36,"Medium","Low")))</f>
        <v>Critical</v>
      </c>
      <c r="L5" s="16" t="n">
        <v>4.5</v>
      </c>
      <c r="M5" s="17" t="n">
        <f aca="false">ROUND(L5-H5,2)</f>
        <v>3.25</v>
      </c>
      <c r="N5" s="4" t="s">
        <v>190</v>
      </c>
      <c r="O5" s="4" t="s">
        <v>191</v>
      </c>
    </row>
    <row r="6" customFormat="false" ht="30" hidden="false" customHeight="true" outlineLevel="0" collapsed="false">
      <c r="A6" s="5" t="s">
        <v>136</v>
      </c>
      <c r="B6" s="19" t="n">
        <v>2</v>
      </c>
      <c r="C6" s="19" t="n">
        <v>2</v>
      </c>
      <c r="D6" s="19" t="n">
        <v>3</v>
      </c>
      <c r="E6" s="19" t="n">
        <v>2</v>
      </c>
      <c r="F6" s="20" t="n">
        <f aca="false">'Scoring Methodology'!$B$42</f>
        <v>1.25</v>
      </c>
      <c r="G6" s="5" t="s">
        <v>192</v>
      </c>
      <c r="H6" s="20" t="n">
        <f aca="false">ROUND(AVERAGE(B6:E6),2)</f>
        <v>2.25</v>
      </c>
      <c r="I6" s="20" t="n">
        <v>5</v>
      </c>
      <c r="J6" s="20" t="n">
        <f aca="false">ROUND(MAX(0,I6-H6)*F6,2)</f>
        <v>3.44</v>
      </c>
      <c r="K6" s="21" t="str">
        <f aca="false">IF(J6&gt;='Scoring Methodology'!$B$34,"Critical",IF(J6&gt;='Scoring Methodology'!$B$35,"High",IF(J6&gt;='Scoring Methodology'!$B$36,"Medium","Low")))</f>
        <v>High</v>
      </c>
      <c r="L6" s="19" t="n">
        <v>4.5</v>
      </c>
      <c r="M6" s="20" t="n">
        <f aca="false">ROUND(L6-H6,2)</f>
        <v>2.25</v>
      </c>
      <c r="N6" s="5" t="s">
        <v>193</v>
      </c>
      <c r="O6" s="5" t="s">
        <v>194</v>
      </c>
    </row>
    <row r="7" customFormat="false" ht="30" hidden="false" customHeight="true" outlineLevel="0" collapsed="false">
      <c r="A7" s="4" t="s">
        <v>138</v>
      </c>
      <c r="B7" s="16" t="n">
        <v>1</v>
      </c>
      <c r="C7" s="16" t="n">
        <v>1</v>
      </c>
      <c r="D7" s="16" t="n">
        <v>2</v>
      </c>
      <c r="E7" s="16" t="n">
        <v>1</v>
      </c>
      <c r="F7" s="17" t="n">
        <f aca="false">'Scoring Methodology'!$B$43</f>
        <v>1.25</v>
      </c>
      <c r="G7" s="4" t="s">
        <v>195</v>
      </c>
      <c r="H7" s="17" t="n">
        <f aca="false">ROUND(AVERAGE(B7:E7),2)</f>
        <v>1.25</v>
      </c>
      <c r="I7" s="17" t="n">
        <v>5</v>
      </c>
      <c r="J7" s="17" t="n">
        <f aca="false">ROUND(MAX(0,I7-H7)*F7,2)</f>
        <v>4.69</v>
      </c>
      <c r="K7" s="18" t="str">
        <f aca="false">IF(J7&gt;='Scoring Methodology'!$B$34,"Critical",IF(J7&gt;='Scoring Methodology'!$B$35,"High",IF(J7&gt;='Scoring Methodology'!$B$36,"Medium","Low")))</f>
        <v>Critical</v>
      </c>
      <c r="L7" s="16" t="n">
        <v>4.5</v>
      </c>
      <c r="M7" s="17" t="n">
        <f aca="false">ROUND(L7-H7,2)</f>
        <v>3.25</v>
      </c>
      <c r="N7" s="4" t="s">
        <v>196</v>
      </c>
      <c r="O7" s="4" t="s">
        <v>197</v>
      </c>
    </row>
    <row r="8" customFormat="false" ht="30" hidden="false" customHeight="true" outlineLevel="0" collapsed="false">
      <c r="A8" s="5" t="s">
        <v>139</v>
      </c>
      <c r="B8" s="19" t="n">
        <v>2</v>
      </c>
      <c r="C8" s="19" t="n">
        <v>1</v>
      </c>
      <c r="D8" s="19" t="n">
        <v>3</v>
      </c>
      <c r="E8" s="19" t="n">
        <v>2</v>
      </c>
      <c r="F8" s="20" t="n">
        <f aca="false">'Scoring Methodology'!$B$44</f>
        <v>1.25</v>
      </c>
      <c r="G8" s="5" t="s">
        <v>195</v>
      </c>
      <c r="H8" s="20" t="n">
        <f aca="false">ROUND(AVERAGE(B8:E8),2)</f>
        <v>2</v>
      </c>
      <c r="I8" s="20" t="n">
        <v>5</v>
      </c>
      <c r="J8" s="20" t="n">
        <f aca="false">ROUND(MAX(0,I8-H8)*F8,2)</f>
        <v>3.75</v>
      </c>
      <c r="K8" s="21" t="str">
        <f aca="false">IF(J8&gt;='Scoring Methodology'!$B$34,"Critical",IF(J8&gt;='Scoring Methodology'!$B$35,"High",IF(J8&gt;='Scoring Methodology'!$B$36,"Medium","Low")))</f>
        <v>High</v>
      </c>
      <c r="L8" s="19" t="n">
        <v>4.5</v>
      </c>
      <c r="M8" s="20" t="n">
        <f aca="false">ROUND(L8-H8,2)</f>
        <v>2.5</v>
      </c>
      <c r="N8" s="5" t="s">
        <v>198</v>
      </c>
      <c r="O8" s="5" t="s">
        <v>199</v>
      </c>
    </row>
    <row r="9" customFormat="false" ht="30" hidden="false" customHeight="true" outlineLevel="0" collapsed="false">
      <c r="A9" s="4" t="s">
        <v>140</v>
      </c>
      <c r="B9" s="16" t="n">
        <v>2</v>
      </c>
      <c r="C9" s="16" t="n">
        <v>2</v>
      </c>
      <c r="D9" s="16" t="n">
        <v>4</v>
      </c>
      <c r="E9" s="16" t="n">
        <v>2</v>
      </c>
      <c r="F9" s="17" t="n">
        <f aca="false">'Scoring Methodology'!$B$45</f>
        <v>1.5</v>
      </c>
      <c r="G9" s="4" t="s">
        <v>195</v>
      </c>
      <c r="H9" s="17" t="n">
        <f aca="false">ROUND(AVERAGE(B9:E9),2)</f>
        <v>2.5</v>
      </c>
      <c r="I9" s="17" t="n">
        <v>5</v>
      </c>
      <c r="J9" s="17" t="n">
        <f aca="false">ROUND(MAX(0,I9-H9)*F9,2)</f>
        <v>3.75</v>
      </c>
      <c r="K9" s="18" t="str">
        <f aca="false">IF(J9&gt;='Scoring Methodology'!$B$34,"Critical",IF(J9&gt;='Scoring Methodology'!$B$35,"High",IF(J9&gt;='Scoring Methodology'!$B$36,"Medium","Low")))</f>
        <v>High</v>
      </c>
      <c r="L9" s="16" t="n">
        <v>4.5</v>
      </c>
      <c r="M9" s="17" t="n">
        <f aca="false">ROUND(L9-H9,2)</f>
        <v>2</v>
      </c>
      <c r="N9" s="4" t="s">
        <v>200</v>
      </c>
      <c r="O9" s="4" t="s">
        <v>201</v>
      </c>
    </row>
    <row r="10" customFormat="false" ht="30" hidden="false" customHeight="true" outlineLevel="0" collapsed="false">
      <c r="A10" s="5" t="s">
        <v>141</v>
      </c>
      <c r="B10" s="19" t="n">
        <v>2</v>
      </c>
      <c r="C10" s="19" t="n">
        <v>2</v>
      </c>
      <c r="D10" s="19" t="n">
        <v>4</v>
      </c>
      <c r="E10" s="19" t="n">
        <v>2</v>
      </c>
      <c r="F10" s="20" t="n">
        <f aca="false">'Scoring Methodology'!$B$46</f>
        <v>1.25</v>
      </c>
      <c r="G10" s="5" t="s">
        <v>195</v>
      </c>
      <c r="H10" s="20" t="n">
        <f aca="false">ROUND(AVERAGE(B10:E10),2)</f>
        <v>2.5</v>
      </c>
      <c r="I10" s="20" t="n">
        <v>5</v>
      </c>
      <c r="J10" s="20" t="n">
        <f aca="false">ROUND(MAX(0,I10-H10)*F10,2)</f>
        <v>3.13</v>
      </c>
      <c r="K10" s="21" t="str">
        <f aca="false">IF(J10&gt;='Scoring Methodology'!$B$34,"Critical",IF(J10&gt;='Scoring Methodology'!$B$35,"High",IF(J10&gt;='Scoring Methodology'!$B$36,"Medium","Low")))</f>
        <v>High</v>
      </c>
      <c r="L10" s="19" t="n">
        <v>4.5</v>
      </c>
      <c r="M10" s="20" t="n">
        <f aca="false">ROUND(L10-H10,2)</f>
        <v>2</v>
      </c>
      <c r="N10" s="5" t="s">
        <v>202</v>
      </c>
      <c r="O10" s="5" t="s">
        <v>199</v>
      </c>
    </row>
    <row r="11" customFormat="false" ht="30" hidden="false" customHeight="true" outlineLevel="0" collapsed="false">
      <c r="A11" s="4" t="s">
        <v>142</v>
      </c>
      <c r="B11" s="16" t="n">
        <v>2</v>
      </c>
      <c r="C11" s="16" t="n">
        <v>1</v>
      </c>
      <c r="D11" s="16" t="n">
        <v>3</v>
      </c>
      <c r="E11" s="16" t="n">
        <v>2</v>
      </c>
      <c r="F11" s="17" t="n">
        <f aca="false">'Scoring Methodology'!$B$47</f>
        <v>1.25</v>
      </c>
      <c r="G11" s="4" t="s">
        <v>189</v>
      </c>
      <c r="H11" s="17" t="n">
        <f aca="false">ROUND(AVERAGE(B11:E11),2)</f>
        <v>2</v>
      </c>
      <c r="I11" s="17" t="n">
        <v>5</v>
      </c>
      <c r="J11" s="17" t="n">
        <f aca="false">ROUND(MAX(0,I11-H11)*F11,2)</f>
        <v>3.75</v>
      </c>
      <c r="K11" s="18" t="str">
        <f aca="false">IF(J11&gt;='Scoring Methodology'!$B$34,"Critical",IF(J11&gt;='Scoring Methodology'!$B$35,"High",IF(J11&gt;='Scoring Methodology'!$B$36,"Medium","Low")))</f>
        <v>High</v>
      </c>
      <c r="L11" s="16" t="n">
        <v>4.5</v>
      </c>
      <c r="M11" s="17" t="n">
        <f aca="false">ROUND(L11-H11,2)</f>
        <v>2.5</v>
      </c>
      <c r="N11" s="4" t="s">
        <v>203</v>
      </c>
      <c r="O11" s="4" t="s">
        <v>201</v>
      </c>
    </row>
    <row r="12" customFormat="false" ht="30" hidden="false" customHeight="true" outlineLevel="0" collapsed="false">
      <c r="A12" s="5" t="s">
        <v>143</v>
      </c>
      <c r="B12" s="19" t="n">
        <v>2</v>
      </c>
      <c r="C12" s="19" t="n">
        <v>1</v>
      </c>
      <c r="D12" s="19" t="n">
        <v>3</v>
      </c>
      <c r="E12" s="19" t="n">
        <v>2</v>
      </c>
      <c r="F12" s="20" t="n">
        <f aca="false">'Scoring Methodology'!$B$48</f>
        <v>1</v>
      </c>
      <c r="G12" s="5" t="s">
        <v>195</v>
      </c>
      <c r="H12" s="20" t="n">
        <f aca="false">ROUND(AVERAGE(B12:E12),2)</f>
        <v>2</v>
      </c>
      <c r="I12" s="20" t="n">
        <v>4</v>
      </c>
      <c r="J12" s="20" t="n">
        <f aca="false">ROUND(MAX(0,I12-H12)*F12,2)</f>
        <v>2</v>
      </c>
      <c r="K12" s="21" t="str">
        <f aca="false">IF(J12&gt;='Scoring Methodology'!$B$34,"Critical",IF(J12&gt;='Scoring Methodology'!$B$35,"High",IF(J12&gt;='Scoring Methodology'!$B$36,"Medium","Low")))</f>
        <v>Medium</v>
      </c>
      <c r="L12" s="19" t="n">
        <v>4</v>
      </c>
      <c r="M12" s="20" t="n">
        <f aca="false">ROUND(L12-H12,2)</f>
        <v>2</v>
      </c>
      <c r="N12" s="5" t="s">
        <v>204</v>
      </c>
      <c r="O12" s="5" t="s">
        <v>201</v>
      </c>
    </row>
    <row r="13" customFormat="false" ht="30" hidden="false" customHeight="true" outlineLevel="0" collapsed="false">
      <c r="A13" s="4" t="s">
        <v>145</v>
      </c>
      <c r="B13" s="16" t="n">
        <v>2</v>
      </c>
      <c r="C13" s="16" t="n">
        <v>2</v>
      </c>
      <c r="D13" s="16" t="n">
        <v>4</v>
      </c>
      <c r="E13" s="16" t="n">
        <v>2</v>
      </c>
      <c r="F13" s="17" t="n">
        <f aca="false">'Scoring Methodology'!$B$49</f>
        <v>1.25</v>
      </c>
      <c r="G13" s="4" t="s">
        <v>205</v>
      </c>
      <c r="H13" s="17" t="n">
        <f aca="false">ROUND(AVERAGE(B13:E13),2)</f>
        <v>2.5</v>
      </c>
      <c r="I13" s="17" t="n">
        <v>5</v>
      </c>
      <c r="J13" s="17" t="n">
        <f aca="false">ROUND(MAX(0,I13-H13)*F13,2)</f>
        <v>3.13</v>
      </c>
      <c r="K13" s="18" t="str">
        <f aca="false">IF(J13&gt;='Scoring Methodology'!$B$34,"Critical",IF(J13&gt;='Scoring Methodology'!$B$35,"High",IF(J13&gt;='Scoring Methodology'!$B$36,"Medium","Low")))</f>
        <v>High</v>
      </c>
      <c r="L13" s="16" t="n">
        <v>4.5</v>
      </c>
      <c r="M13" s="17" t="n">
        <f aca="false">ROUND(L13-H13,2)</f>
        <v>2</v>
      </c>
      <c r="N13" s="4" t="s">
        <v>206</v>
      </c>
      <c r="O13" s="4" t="s">
        <v>207</v>
      </c>
    </row>
    <row r="14" customFormat="false" ht="30" hidden="false" customHeight="true" outlineLevel="0" collapsed="false">
      <c r="A14" s="5" t="s">
        <v>146</v>
      </c>
      <c r="B14" s="19" t="n">
        <v>3</v>
      </c>
      <c r="C14" s="19" t="n">
        <v>2</v>
      </c>
      <c r="D14" s="19" t="n">
        <v>3</v>
      </c>
      <c r="E14" s="19" t="n">
        <v>3</v>
      </c>
      <c r="F14" s="20" t="n">
        <f aca="false">'Scoring Methodology'!$B$50</f>
        <v>1.25</v>
      </c>
      <c r="G14" s="5" t="s">
        <v>208</v>
      </c>
      <c r="H14" s="20" t="n">
        <f aca="false">ROUND(AVERAGE(B14:E14),2)</f>
        <v>2.75</v>
      </c>
      <c r="I14" s="20" t="n">
        <v>5</v>
      </c>
      <c r="J14" s="20" t="n">
        <f aca="false">ROUND(MAX(0,I14-H14)*F14,2)</f>
        <v>2.81</v>
      </c>
      <c r="K14" s="21" t="str">
        <f aca="false">IF(J14&gt;='Scoring Methodology'!$B$34,"Critical",IF(J14&gt;='Scoring Methodology'!$B$35,"High",IF(J14&gt;='Scoring Methodology'!$B$36,"Medium","Low")))</f>
        <v>Medium</v>
      </c>
      <c r="L14" s="19" t="n">
        <v>4.5</v>
      </c>
      <c r="M14" s="20" t="n">
        <f aca="false">ROUND(L14-H14,2)</f>
        <v>1.75</v>
      </c>
      <c r="N14" s="5" t="s">
        <v>209</v>
      </c>
      <c r="O14" s="5" t="s">
        <v>210</v>
      </c>
    </row>
    <row r="15" customFormat="false" ht="30" hidden="false" customHeight="true" outlineLevel="0" collapsed="false">
      <c r="A15" s="4" t="s">
        <v>147</v>
      </c>
      <c r="B15" s="16" t="n">
        <v>2</v>
      </c>
      <c r="C15" s="16" t="n">
        <v>2</v>
      </c>
      <c r="D15" s="16" t="n">
        <v>3</v>
      </c>
      <c r="E15" s="16" t="n">
        <v>2</v>
      </c>
      <c r="F15" s="17" t="n">
        <f aca="false">'Scoring Methodology'!$B$51</f>
        <v>1</v>
      </c>
      <c r="G15" s="4" t="s">
        <v>211</v>
      </c>
      <c r="H15" s="17" t="n">
        <f aca="false">ROUND(AVERAGE(B15:E15),2)</f>
        <v>2.25</v>
      </c>
      <c r="I15" s="17" t="n">
        <v>5</v>
      </c>
      <c r="J15" s="17" t="n">
        <f aca="false">ROUND(MAX(0,I15-H15)*F15,2)</f>
        <v>2.75</v>
      </c>
      <c r="K15" s="18" t="str">
        <f aca="false">IF(J15&gt;='Scoring Methodology'!$B$34,"Critical",IF(J15&gt;='Scoring Methodology'!$B$35,"High",IF(J15&gt;='Scoring Methodology'!$B$36,"Medium","Low")))</f>
        <v>Medium</v>
      </c>
      <c r="L15" s="16" t="n">
        <v>4.5</v>
      </c>
      <c r="M15" s="17" t="n">
        <f aca="false">ROUND(L15-H15,2)</f>
        <v>2.25</v>
      </c>
      <c r="N15" s="4" t="s">
        <v>212</v>
      </c>
      <c r="O15" s="4" t="s">
        <v>207</v>
      </c>
    </row>
    <row r="16" customFormat="false" ht="30" hidden="false" customHeight="true" outlineLevel="0" collapsed="false">
      <c r="A16" s="5" t="s">
        <v>148</v>
      </c>
      <c r="B16" s="19" t="n">
        <v>2</v>
      </c>
      <c r="C16" s="19" t="n">
        <v>1</v>
      </c>
      <c r="D16" s="19" t="n">
        <v>3</v>
      </c>
      <c r="E16" s="19" t="n">
        <v>2</v>
      </c>
      <c r="F16" s="20" t="n">
        <f aca="false">'Scoring Methodology'!$B$52</f>
        <v>1.25</v>
      </c>
      <c r="G16" s="5" t="s">
        <v>213</v>
      </c>
      <c r="H16" s="20" t="n">
        <f aca="false">ROUND(AVERAGE(B16:E16),2)</f>
        <v>2</v>
      </c>
      <c r="I16" s="20" t="n">
        <v>5</v>
      </c>
      <c r="J16" s="20" t="n">
        <f aca="false">ROUND(MAX(0,I16-H16)*F16,2)</f>
        <v>3.75</v>
      </c>
      <c r="K16" s="21" t="str">
        <f aca="false">IF(J16&gt;='Scoring Methodology'!$B$34,"Critical",IF(J16&gt;='Scoring Methodology'!$B$35,"High",IF(J16&gt;='Scoring Methodology'!$B$36,"Medium","Low")))</f>
        <v>High</v>
      </c>
      <c r="L16" s="19" t="n">
        <v>4.5</v>
      </c>
      <c r="M16" s="20" t="n">
        <f aca="false">ROUND(L16-H16,2)</f>
        <v>2.5</v>
      </c>
      <c r="N16" s="5" t="s">
        <v>214</v>
      </c>
      <c r="O16" s="5" t="s">
        <v>191</v>
      </c>
    </row>
    <row r="17" customFormat="false" ht="30" hidden="false" customHeight="true" outlineLevel="0" collapsed="false">
      <c r="A17" s="4" t="s">
        <v>149</v>
      </c>
      <c r="B17" s="16" t="n">
        <v>2</v>
      </c>
      <c r="C17" s="16" t="n">
        <v>2</v>
      </c>
      <c r="D17" s="16" t="n">
        <v>4</v>
      </c>
      <c r="E17" s="16" t="n">
        <v>2</v>
      </c>
      <c r="F17" s="17" t="n">
        <f aca="false">'Scoring Methodology'!$B$53</f>
        <v>1.5</v>
      </c>
      <c r="G17" s="4" t="s">
        <v>195</v>
      </c>
      <c r="H17" s="17" t="n">
        <f aca="false">ROUND(AVERAGE(B17:E17),2)</f>
        <v>2.5</v>
      </c>
      <c r="I17" s="17" t="n">
        <v>5</v>
      </c>
      <c r="J17" s="17" t="n">
        <f aca="false">ROUND(MAX(0,I17-H17)*F17,2)</f>
        <v>3.75</v>
      </c>
      <c r="K17" s="18" t="str">
        <f aca="false">IF(J17&gt;='Scoring Methodology'!$B$34,"Critical",IF(J17&gt;='Scoring Methodology'!$B$35,"High",IF(J17&gt;='Scoring Methodology'!$B$36,"Medium","Low")))</f>
        <v>High</v>
      </c>
      <c r="L17" s="16" t="n">
        <v>5</v>
      </c>
      <c r="M17" s="17" t="n">
        <f aca="false">ROUND(L17-H17,2)</f>
        <v>2.5</v>
      </c>
      <c r="N17" s="4" t="s">
        <v>215</v>
      </c>
      <c r="O17" s="4" t="s">
        <v>216</v>
      </c>
    </row>
    <row r="18" customFormat="false" ht="30" hidden="false" customHeight="true" outlineLevel="0" collapsed="false">
      <c r="A18" s="5" t="s">
        <v>150</v>
      </c>
      <c r="B18" s="19" t="n">
        <v>1</v>
      </c>
      <c r="C18" s="19" t="n">
        <v>1</v>
      </c>
      <c r="D18" s="19" t="n">
        <v>2</v>
      </c>
      <c r="E18" s="19" t="n">
        <v>1</v>
      </c>
      <c r="F18" s="20" t="n">
        <f aca="false">'Scoring Methodology'!$B$54</f>
        <v>1.5</v>
      </c>
      <c r="G18" s="5" t="s">
        <v>205</v>
      </c>
      <c r="H18" s="20" t="n">
        <f aca="false">ROUND(AVERAGE(B18:E18),2)</f>
        <v>1.25</v>
      </c>
      <c r="I18" s="20" t="n">
        <v>5</v>
      </c>
      <c r="J18" s="20" t="n">
        <f aca="false">ROUND(MAX(0,I18-H18)*F18,2)</f>
        <v>5.63</v>
      </c>
      <c r="K18" s="21" t="str">
        <f aca="false">IF(J18&gt;='Scoring Methodology'!$B$34,"Critical",IF(J18&gt;='Scoring Methodology'!$B$35,"High",IF(J18&gt;='Scoring Methodology'!$B$36,"Medium","Low")))</f>
        <v>Critical</v>
      </c>
      <c r="L18" s="19" t="n">
        <v>4.5</v>
      </c>
      <c r="M18" s="20" t="n">
        <f aca="false">ROUND(L18-H18,2)</f>
        <v>3.25</v>
      </c>
      <c r="N18" s="5" t="s">
        <v>217</v>
      </c>
      <c r="O18" s="5" t="s">
        <v>218</v>
      </c>
    </row>
    <row r="19" customFormat="false" ht="30" hidden="false" customHeight="true" outlineLevel="0" collapsed="false">
      <c r="A19" s="4" t="s">
        <v>151</v>
      </c>
      <c r="B19" s="16" t="n">
        <v>2</v>
      </c>
      <c r="C19" s="16" t="n">
        <v>2</v>
      </c>
      <c r="D19" s="16" t="n">
        <v>4</v>
      </c>
      <c r="E19" s="16" t="n">
        <v>2</v>
      </c>
      <c r="F19" s="17" t="n">
        <f aca="false">'Scoring Methodology'!$B$55</f>
        <v>1</v>
      </c>
      <c r="G19" s="4" t="s">
        <v>219</v>
      </c>
      <c r="H19" s="17" t="n">
        <f aca="false">ROUND(AVERAGE(B19:E19),2)</f>
        <v>2.5</v>
      </c>
      <c r="I19" s="17" t="n">
        <v>5</v>
      </c>
      <c r="J19" s="17" t="n">
        <f aca="false">ROUND(MAX(0,I19-H19)*F19,2)</f>
        <v>2.5</v>
      </c>
      <c r="K19" s="18" t="str">
        <f aca="false">IF(J19&gt;='Scoring Methodology'!$B$34,"Critical",IF(J19&gt;='Scoring Methodology'!$B$35,"High",IF(J19&gt;='Scoring Methodology'!$B$36,"Medium","Low")))</f>
        <v>Medium</v>
      </c>
      <c r="L19" s="16" t="n">
        <v>4.5</v>
      </c>
      <c r="M19" s="17" t="n">
        <f aca="false">ROUND(L19-H19,2)</f>
        <v>2</v>
      </c>
      <c r="N19" s="4" t="s">
        <v>220</v>
      </c>
      <c r="O19" s="4" t="s">
        <v>221</v>
      </c>
    </row>
    <row r="20" customFormat="false" ht="30" hidden="false" customHeight="true" outlineLevel="0" collapsed="false">
      <c r="A20" s="5" t="s">
        <v>152</v>
      </c>
      <c r="B20" s="19" t="n">
        <v>1</v>
      </c>
      <c r="C20" s="19" t="n">
        <v>1</v>
      </c>
      <c r="D20" s="19" t="n">
        <v>3</v>
      </c>
      <c r="E20" s="19" t="n">
        <v>1</v>
      </c>
      <c r="F20" s="20" t="n">
        <f aca="false">'Scoring Methodology'!$B$56</f>
        <v>1</v>
      </c>
      <c r="G20" s="5" t="s">
        <v>219</v>
      </c>
      <c r="H20" s="20" t="n">
        <f aca="false">ROUND(AVERAGE(B20:E20),2)</f>
        <v>1.5</v>
      </c>
      <c r="I20" s="20" t="n">
        <v>5</v>
      </c>
      <c r="J20" s="20" t="n">
        <f aca="false">ROUND(MAX(0,I20-H20)*F20,2)</f>
        <v>3.5</v>
      </c>
      <c r="K20" s="21" t="str">
        <f aca="false">IF(J20&gt;='Scoring Methodology'!$B$34,"Critical",IF(J20&gt;='Scoring Methodology'!$B$35,"High",IF(J20&gt;='Scoring Methodology'!$B$36,"Medium","Low")))</f>
        <v>High</v>
      </c>
      <c r="L20" s="19" t="n">
        <v>4</v>
      </c>
      <c r="M20" s="20" t="n">
        <f aca="false">ROUND(L20-H20,2)</f>
        <v>2.5</v>
      </c>
      <c r="N20" s="5" t="s">
        <v>222</v>
      </c>
      <c r="O20" s="5" t="s">
        <v>223</v>
      </c>
    </row>
    <row r="21" customFormat="false" ht="30" hidden="false" customHeight="true" outlineLevel="0" collapsed="false">
      <c r="A21" s="4" t="s">
        <v>153</v>
      </c>
      <c r="B21" s="16" t="n">
        <v>2</v>
      </c>
      <c r="C21" s="16" t="n">
        <v>2</v>
      </c>
      <c r="D21" s="16" t="n">
        <v>4</v>
      </c>
      <c r="E21" s="16" t="n">
        <v>2</v>
      </c>
      <c r="F21" s="17" t="n">
        <f aca="false">'Scoring Methodology'!$B$57</f>
        <v>1.25</v>
      </c>
      <c r="G21" s="4" t="s">
        <v>219</v>
      </c>
      <c r="H21" s="17" t="n">
        <f aca="false">ROUND(AVERAGE(B21:E21),2)</f>
        <v>2.5</v>
      </c>
      <c r="I21" s="17" t="n">
        <v>5</v>
      </c>
      <c r="J21" s="17" t="n">
        <f aca="false">ROUND(MAX(0,I21-H21)*F21,2)</f>
        <v>3.13</v>
      </c>
      <c r="K21" s="18" t="str">
        <f aca="false">IF(J21&gt;='Scoring Methodology'!$B$34,"Critical",IF(J21&gt;='Scoring Methodology'!$B$35,"High",IF(J21&gt;='Scoring Methodology'!$B$36,"Medium","Low")))</f>
        <v>High</v>
      </c>
      <c r="L21" s="16" t="n">
        <v>4.5</v>
      </c>
      <c r="M21" s="17" t="n">
        <f aca="false">ROUND(L21-H21,2)</f>
        <v>2</v>
      </c>
      <c r="N21" s="4" t="s">
        <v>224</v>
      </c>
      <c r="O21" s="4" t="s">
        <v>225</v>
      </c>
    </row>
    <row r="22" customFormat="false" ht="30" hidden="false" customHeight="true" outlineLevel="0" collapsed="false">
      <c r="A22" s="5" t="s">
        <v>154</v>
      </c>
      <c r="B22" s="19" t="n">
        <v>1</v>
      </c>
      <c r="C22" s="19" t="n">
        <v>1</v>
      </c>
      <c r="D22" s="19" t="n">
        <v>3</v>
      </c>
      <c r="E22" s="19" t="n">
        <v>1</v>
      </c>
      <c r="F22" s="20" t="n">
        <f aca="false">'Scoring Methodology'!$B$58</f>
        <v>1.25</v>
      </c>
      <c r="G22" s="5" t="s">
        <v>226</v>
      </c>
      <c r="H22" s="20" t="n">
        <f aca="false">ROUND(AVERAGE(B22:E22),2)</f>
        <v>1.5</v>
      </c>
      <c r="I22" s="20" t="n">
        <v>5</v>
      </c>
      <c r="J22" s="20" t="n">
        <f aca="false">ROUND(MAX(0,I22-H22)*F22,2)</f>
        <v>4.38</v>
      </c>
      <c r="K22" s="21" t="str">
        <f aca="false">IF(J22&gt;='Scoring Methodology'!$B$34,"Critical",IF(J22&gt;='Scoring Methodology'!$B$35,"High",IF(J22&gt;='Scoring Methodology'!$B$36,"Medium","Low")))</f>
        <v>High</v>
      </c>
      <c r="L22" s="19" t="n">
        <v>4.5</v>
      </c>
      <c r="M22" s="20" t="n">
        <f aca="false">ROUND(L22-H22,2)</f>
        <v>3</v>
      </c>
      <c r="N22" s="5" t="s">
        <v>227</v>
      </c>
      <c r="O22" s="5" t="s">
        <v>228</v>
      </c>
    </row>
    <row r="23" customFormat="false" ht="30" hidden="false" customHeight="true" outlineLevel="0" collapsed="false">
      <c r="A23" s="4" t="s">
        <v>155</v>
      </c>
      <c r="B23" s="16" t="n">
        <v>2</v>
      </c>
      <c r="C23" s="16" t="n">
        <v>1</v>
      </c>
      <c r="D23" s="16" t="n">
        <v>3</v>
      </c>
      <c r="E23" s="16" t="n">
        <v>2</v>
      </c>
      <c r="F23" s="17" t="n">
        <f aca="false">'Scoring Methodology'!$B$59</f>
        <v>1.25</v>
      </c>
      <c r="G23" s="4" t="s">
        <v>195</v>
      </c>
      <c r="H23" s="17" t="n">
        <f aca="false">ROUND(AVERAGE(B23:E23),2)</f>
        <v>2</v>
      </c>
      <c r="I23" s="17" t="n">
        <v>5</v>
      </c>
      <c r="J23" s="17" t="n">
        <f aca="false">ROUND(MAX(0,I23-H23)*F23,2)</f>
        <v>3.75</v>
      </c>
      <c r="K23" s="18" t="str">
        <f aca="false">IF(J23&gt;='Scoring Methodology'!$B$34,"Critical",IF(J23&gt;='Scoring Methodology'!$B$35,"High",IF(J23&gt;='Scoring Methodology'!$B$36,"Medium","Low")))</f>
        <v>High</v>
      </c>
      <c r="L23" s="16" t="n">
        <v>4.5</v>
      </c>
      <c r="M23" s="17" t="n">
        <f aca="false">ROUND(L23-H23,2)</f>
        <v>2.5</v>
      </c>
      <c r="N23" s="4" t="s">
        <v>229</v>
      </c>
      <c r="O23" s="4" t="s">
        <v>230</v>
      </c>
    </row>
    <row r="24" customFormat="false" ht="30" hidden="false" customHeight="true" outlineLevel="0" collapsed="false">
      <c r="A24" s="5" t="s">
        <v>156</v>
      </c>
      <c r="B24" s="19" t="n">
        <v>2</v>
      </c>
      <c r="C24" s="19" t="n">
        <v>2</v>
      </c>
      <c r="D24" s="19" t="n">
        <v>3</v>
      </c>
      <c r="E24" s="19" t="n">
        <v>2</v>
      </c>
      <c r="F24" s="20" t="n">
        <f aca="false">'Scoring Methodology'!$B$60</f>
        <v>1.25</v>
      </c>
      <c r="G24" s="5" t="s">
        <v>231</v>
      </c>
      <c r="H24" s="20" t="n">
        <f aca="false">ROUND(AVERAGE(B24:E24),2)</f>
        <v>2.25</v>
      </c>
      <c r="I24" s="20" t="n">
        <v>5</v>
      </c>
      <c r="J24" s="20" t="n">
        <f aca="false">ROUND(MAX(0,I24-H24)*F24,2)</f>
        <v>3.44</v>
      </c>
      <c r="K24" s="21" t="str">
        <f aca="false">IF(J24&gt;='Scoring Methodology'!$B$34,"Critical",IF(J24&gt;='Scoring Methodology'!$B$35,"High",IF(J24&gt;='Scoring Methodology'!$B$36,"Medium","Low")))</f>
        <v>High</v>
      </c>
      <c r="L24" s="19" t="n">
        <v>4.5</v>
      </c>
      <c r="M24" s="20" t="n">
        <f aca="false">ROUND(L24-H24,2)</f>
        <v>2.25</v>
      </c>
      <c r="N24" s="5" t="s">
        <v>232</v>
      </c>
      <c r="O24" s="5" t="s">
        <v>233</v>
      </c>
    </row>
    <row r="25" customFormat="false" ht="30" hidden="false" customHeight="true" outlineLevel="0" collapsed="false">
      <c r="A25" s="4" t="s">
        <v>157</v>
      </c>
      <c r="B25" s="16" t="n">
        <v>2</v>
      </c>
      <c r="C25" s="16" t="n">
        <v>1</v>
      </c>
      <c r="D25" s="16" t="n">
        <v>3</v>
      </c>
      <c r="E25" s="16" t="n">
        <v>2</v>
      </c>
      <c r="F25" s="17" t="n">
        <f aca="false">'Scoring Methodology'!$B$61</f>
        <v>1</v>
      </c>
      <c r="G25" s="4" t="s">
        <v>195</v>
      </c>
      <c r="H25" s="17" t="n">
        <f aca="false">ROUND(AVERAGE(B25:E25),2)</f>
        <v>2</v>
      </c>
      <c r="I25" s="17" t="n">
        <v>5</v>
      </c>
      <c r="J25" s="17" t="n">
        <f aca="false">ROUND(MAX(0,I25-H25)*F25,2)</f>
        <v>3</v>
      </c>
      <c r="K25" s="18" t="str">
        <f aca="false">IF(J25&gt;='Scoring Methodology'!$B$34,"Critical",IF(J25&gt;='Scoring Methodology'!$B$35,"High",IF(J25&gt;='Scoring Methodology'!$B$36,"Medium","Low")))</f>
        <v>High</v>
      </c>
      <c r="L25" s="16" t="n">
        <v>4.5</v>
      </c>
      <c r="M25" s="17" t="n">
        <f aca="false">ROUND(L25-H25,2)</f>
        <v>2.5</v>
      </c>
      <c r="N25" s="4" t="s">
        <v>234</v>
      </c>
      <c r="O25" s="4" t="s">
        <v>235</v>
      </c>
    </row>
    <row r="26" customFormat="false" ht="30" hidden="false" customHeight="true" outlineLevel="0" collapsed="false">
      <c r="A26" s="5" t="s">
        <v>158</v>
      </c>
      <c r="B26" s="19" t="n">
        <v>1</v>
      </c>
      <c r="C26" s="19" t="n">
        <v>1</v>
      </c>
      <c r="D26" s="19" t="n">
        <v>2</v>
      </c>
      <c r="E26" s="19" t="n">
        <v>1</v>
      </c>
      <c r="F26" s="20" t="n">
        <f aca="false">'Scoring Methodology'!$B$62</f>
        <v>0.75</v>
      </c>
      <c r="G26" s="5" t="s">
        <v>192</v>
      </c>
      <c r="H26" s="20" t="n">
        <f aca="false">ROUND(AVERAGE(B26:E26),2)</f>
        <v>1.25</v>
      </c>
      <c r="I26" s="20" t="n">
        <v>4</v>
      </c>
      <c r="J26" s="20" t="n">
        <f aca="false">ROUND(MAX(0,I26-H26)*F26,2)</f>
        <v>2.06</v>
      </c>
      <c r="K26" s="21" t="str">
        <f aca="false">IF(J26&gt;='Scoring Methodology'!$B$34,"Critical",IF(J26&gt;='Scoring Methodology'!$B$35,"High",IF(J26&gt;='Scoring Methodology'!$B$36,"Medium","Low")))</f>
        <v>Medium</v>
      </c>
      <c r="L26" s="19" t="n">
        <v>4</v>
      </c>
      <c r="M26" s="20" t="n">
        <f aca="false">ROUND(L26-H26,2)</f>
        <v>2.75</v>
      </c>
      <c r="N26" s="5" t="s">
        <v>236</v>
      </c>
      <c r="O26" s="5" t="s">
        <v>237</v>
      </c>
    </row>
    <row r="27" customFormat="false" ht="30" hidden="false" customHeight="true" outlineLevel="0" collapsed="false">
      <c r="A27" s="4" t="s">
        <v>160</v>
      </c>
      <c r="B27" s="16" t="n">
        <v>2</v>
      </c>
      <c r="C27" s="16" t="n">
        <v>2</v>
      </c>
      <c r="D27" s="16" t="n">
        <v>4</v>
      </c>
      <c r="E27" s="16" t="n">
        <v>2</v>
      </c>
      <c r="F27" s="17" t="n">
        <f aca="false">'Scoring Methodology'!$B$63</f>
        <v>1.25</v>
      </c>
      <c r="G27" s="4" t="s">
        <v>238</v>
      </c>
      <c r="H27" s="17" t="n">
        <f aca="false">ROUND(AVERAGE(B27:E27),2)</f>
        <v>2.5</v>
      </c>
      <c r="I27" s="17" t="n">
        <v>5</v>
      </c>
      <c r="J27" s="17" t="n">
        <f aca="false">ROUND(MAX(0,I27-H27)*F27,2)</f>
        <v>3.13</v>
      </c>
      <c r="K27" s="18" t="str">
        <f aca="false">IF(J27&gt;='Scoring Methodology'!$B$34,"Critical",IF(J27&gt;='Scoring Methodology'!$B$35,"High",IF(J27&gt;='Scoring Methodology'!$B$36,"Medium","Low")))</f>
        <v>High</v>
      </c>
      <c r="L27" s="16" t="n">
        <v>4.5</v>
      </c>
      <c r="M27" s="17" t="n">
        <f aca="false">ROUND(L27-H27,2)</f>
        <v>2</v>
      </c>
      <c r="N27" s="4" t="s">
        <v>239</v>
      </c>
      <c r="O27" s="4" t="s">
        <v>240</v>
      </c>
    </row>
    <row r="28" customFormat="false" ht="30" hidden="false" customHeight="true" outlineLevel="0" collapsed="false">
      <c r="A28" s="5" t="s">
        <v>161</v>
      </c>
      <c r="B28" s="19" t="n">
        <v>2</v>
      </c>
      <c r="C28" s="19" t="n">
        <v>1</v>
      </c>
      <c r="D28" s="19" t="n">
        <v>3</v>
      </c>
      <c r="E28" s="19" t="n">
        <v>2</v>
      </c>
      <c r="F28" s="20" t="n">
        <f aca="false">'Scoring Methodology'!$B$64</f>
        <v>1</v>
      </c>
      <c r="G28" s="5" t="s">
        <v>241</v>
      </c>
      <c r="H28" s="20" t="n">
        <f aca="false">ROUND(AVERAGE(B28:E28),2)</f>
        <v>2</v>
      </c>
      <c r="I28" s="20" t="n">
        <v>4</v>
      </c>
      <c r="J28" s="20" t="n">
        <f aca="false">ROUND(MAX(0,I28-H28)*F28,2)</f>
        <v>2</v>
      </c>
      <c r="K28" s="21" t="str">
        <f aca="false">IF(J28&gt;='Scoring Methodology'!$B$34,"Critical",IF(J28&gt;='Scoring Methodology'!$B$35,"High",IF(J28&gt;='Scoring Methodology'!$B$36,"Medium","Low")))</f>
        <v>Medium</v>
      </c>
      <c r="L28" s="19" t="n">
        <v>4</v>
      </c>
      <c r="M28" s="20" t="n">
        <f aca="false">ROUND(L28-H28,2)</f>
        <v>2</v>
      </c>
      <c r="N28" s="5" t="s">
        <v>242</v>
      </c>
      <c r="O28" s="5" t="s">
        <v>243</v>
      </c>
    </row>
    <row r="29" customFormat="false" ht="30" hidden="false" customHeight="true" outlineLevel="0" collapsed="false">
      <c r="A29" s="4" t="s">
        <v>162</v>
      </c>
      <c r="B29" s="16" t="n">
        <v>2</v>
      </c>
      <c r="C29" s="16" t="n">
        <v>2</v>
      </c>
      <c r="D29" s="16" t="n">
        <v>3</v>
      </c>
      <c r="E29" s="16" t="n">
        <v>2</v>
      </c>
      <c r="F29" s="17" t="n">
        <f aca="false">'Scoring Methodology'!$B$65</f>
        <v>1.25</v>
      </c>
      <c r="G29" s="4" t="s">
        <v>192</v>
      </c>
      <c r="H29" s="17" t="n">
        <f aca="false">ROUND(AVERAGE(B29:E29),2)</f>
        <v>2.25</v>
      </c>
      <c r="I29" s="17" t="n">
        <v>5</v>
      </c>
      <c r="J29" s="17" t="n">
        <f aca="false">ROUND(MAX(0,I29-H29)*F29,2)</f>
        <v>3.44</v>
      </c>
      <c r="K29" s="18" t="str">
        <f aca="false">IF(J29&gt;='Scoring Methodology'!$B$34,"Critical",IF(J29&gt;='Scoring Methodology'!$B$35,"High",IF(J29&gt;='Scoring Methodology'!$B$36,"Medium","Low")))</f>
        <v>High</v>
      </c>
      <c r="L29" s="16" t="n">
        <v>4.5</v>
      </c>
      <c r="M29" s="17" t="n">
        <f aca="false">ROUND(L29-H29,2)</f>
        <v>2.25</v>
      </c>
      <c r="N29" s="4" t="s">
        <v>244</v>
      </c>
      <c r="O29" s="4" t="s">
        <v>245</v>
      </c>
    </row>
    <row r="30" customFormat="false" ht="30" hidden="false" customHeight="true" outlineLevel="0" collapsed="false">
      <c r="A30" s="5" t="s">
        <v>163</v>
      </c>
      <c r="B30" s="19" t="n">
        <v>4</v>
      </c>
      <c r="C30" s="19" t="n">
        <v>4</v>
      </c>
      <c r="D30" s="19" t="n">
        <v>5</v>
      </c>
      <c r="E30" s="19" t="n">
        <v>4</v>
      </c>
      <c r="F30" s="20" t="n">
        <f aca="false">'Scoring Methodology'!$B$66</f>
        <v>1.5</v>
      </c>
      <c r="G30" s="5" t="s">
        <v>219</v>
      </c>
      <c r="H30" s="20" t="n">
        <f aca="false">ROUND(AVERAGE(B30:E30),2)</f>
        <v>4.25</v>
      </c>
      <c r="I30" s="20" t="n">
        <v>5</v>
      </c>
      <c r="J30" s="20" t="n">
        <f aca="false">ROUND(MAX(0,I30-H30)*F30,2)</f>
        <v>1.13</v>
      </c>
      <c r="K30" s="21" t="str">
        <f aca="false">IF(J30&gt;='Scoring Methodology'!$B$34,"Critical",IF(J30&gt;='Scoring Methodology'!$B$35,"High",IF(J30&gt;='Scoring Methodology'!$B$36,"Medium","Low")))</f>
        <v>Low</v>
      </c>
      <c r="L30" s="19" t="n">
        <v>4.75</v>
      </c>
      <c r="M30" s="20" t="n">
        <f aca="false">ROUND(L30-H30,2)</f>
        <v>0.5</v>
      </c>
      <c r="N30" s="5" t="s">
        <v>246</v>
      </c>
      <c r="O30" s="5" t="s">
        <v>247</v>
      </c>
    </row>
    <row r="31" customFormat="false" ht="30" hidden="false" customHeight="true" outlineLevel="0" collapsed="false">
      <c r="A31" s="4" t="s">
        <v>164</v>
      </c>
      <c r="B31" s="16" t="n">
        <v>2</v>
      </c>
      <c r="C31" s="16" t="n">
        <v>2</v>
      </c>
      <c r="D31" s="16" t="n">
        <v>3</v>
      </c>
      <c r="E31" s="16" t="n">
        <v>2</v>
      </c>
      <c r="F31" s="17" t="n">
        <f aca="false">'Scoring Methodology'!$B$67</f>
        <v>1.25</v>
      </c>
      <c r="G31" s="4" t="s">
        <v>248</v>
      </c>
      <c r="H31" s="17" t="n">
        <f aca="false">ROUND(AVERAGE(B31:E31),2)</f>
        <v>2.25</v>
      </c>
      <c r="I31" s="17" t="n">
        <v>4</v>
      </c>
      <c r="J31" s="17" t="n">
        <f aca="false">ROUND(MAX(0,I31-H31)*F31,2)</f>
        <v>2.19</v>
      </c>
      <c r="K31" s="18" t="str">
        <f aca="false">IF(J31&gt;='Scoring Methodology'!$B$34,"Critical",IF(J31&gt;='Scoring Methodology'!$B$35,"High",IF(J31&gt;='Scoring Methodology'!$B$36,"Medium","Low")))</f>
        <v>Medium</v>
      </c>
      <c r="L31" s="16" t="n">
        <v>4</v>
      </c>
      <c r="M31" s="17" t="n">
        <f aca="false">ROUND(L31-H31,2)</f>
        <v>1.75</v>
      </c>
      <c r="N31" s="4" t="s">
        <v>249</v>
      </c>
      <c r="O31" s="4" t="s">
        <v>250</v>
      </c>
    </row>
    <row r="32" customFormat="false" ht="30" hidden="false" customHeight="true" outlineLevel="0" collapsed="false">
      <c r="A32" s="5" t="s">
        <v>165</v>
      </c>
      <c r="B32" s="19" t="n">
        <v>4</v>
      </c>
      <c r="C32" s="19" t="n">
        <v>4</v>
      </c>
      <c r="D32" s="19" t="n">
        <v>5</v>
      </c>
      <c r="E32" s="19" t="n">
        <v>4</v>
      </c>
      <c r="F32" s="20" t="n">
        <f aca="false">'Scoring Methodology'!$B$68</f>
        <v>1.5</v>
      </c>
      <c r="G32" s="5" t="s">
        <v>248</v>
      </c>
      <c r="H32" s="20" t="n">
        <f aca="false">ROUND(AVERAGE(B32:E32),2)</f>
        <v>4.25</v>
      </c>
      <c r="I32" s="20" t="n">
        <v>5</v>
      </c>
      <c r="J32" s="20" t="n">
        <f aca="false">ROUND(MAX(0,I32-H32)*F32,2)</f>
        <v>1.13</v>
      </c>
      <c r="K32" s="21" t="str">
        <f aca="false">IF(J32&gt;='Scoring Methodology'!$B$34,"Critical",IF(J32&gt;='Scoring Methodology'!$B$35,"High",IF(J32&gt;='Scoring Methodology'!$B$36,"Medium","Low")))</f>
        <v>Low</v>
      </c>
      <c r="L32" s="19" t="n">
        <v>4.75</v>
      </c>
      <c r="M32" s="20" t="n">
        <f aca="false">ROUND(L32-H32,2)</f>
        <v>0.5</v>
      </c>
      <c r="N32" s="5" t="s">
        <v>251</v>
      </c>
      <c r="O32" s="5" t="s">
        <v>252</v>
      </c>
    </row>
    <row r="33" customFormat="false" ht="30" hidden="false" customHeight="true" outlineLevel="0" collapsed="false">
      <c r="A33" s="4" t="s">
        <v>166</v>
      </c>
      <c r="B33" s="16" t="n">
        <v>3</v>
      </c>
      <c r="C33" s="16" t="n">
        <v>3</v>
      </c>
      <c r="D33" s="16" t="n">
        <v>4</v>
      </c>
      <c r="E33" s="16" t="n">
        <v>3</v>
      </c>
      <c r="F33" s="17" t="n">
        <f aca="false">'Scoring Methodology'!$B$69</f>
        <v>1.25</v>
      </c>
      <c r="G33" s="4" t="s">
        <v>192</v>
      </c>
      <c r="H33" s="17" t="n">
        <f aca="false">ROUND(AVERAGE(B33:E33),2)</f>
        <v>3.25</v>
      </c>
      <c r="I33" s="17" t="n">
        <v>4</v>
      </c>
      <c r="J33" s="17" t="n">
        <f aca="false">ROUND(MAX(0,I33-H33)*F33,2)</f>
        <v>0.94</v>
      </c>
      <c r="K33" s="18" t="str">
        <f aca="false">IF(J33&gt;='Scoring Methodology'!$B$34,"Critical",IF(J33&gt;='Scoring Methodology'!$B$35,"High",IF(J33&gt;='Scoring Methodology'!$B$36,"Medium","Low")))</f>
        <v>Low</v>
      </c>
      <c r="L33" s="16" t="n">
        <v>4.5</v>
      </c>
      <c r="M33" s="17" t="n">
        <f aca="false">ROUND(L33-H33,2)</f>
        <v>1.25</v>
      </c>
      <c r="N33" s="4" t="s">
        <v>253</v>
      </c>
      <c r="O33" s="4" t="s">
        <v>254</v>
      </c>
    </row>
    <row r="34" customFormat="false" ht="30" hidden="false" customHeight="true" outlineLevel="0" collapsed="false">
      <c r="A34" s="5" t="s">
        <v>167</v>
      </c>
      <c r="B34" s="19" t="n">
        <v>1</v>
      </c>
      <c r="C34" s="19" t="n">
        <v>1</v>
      </c>
      <c r="D34" s="19" t="n">
        <v>3</v>
      </c>
      <c r="E34" s="19" t="n">
        <v>1</v>
      </c>
      <c r="F34" s="20" t="n">
        <f aca="false">'Scoring Methodology'!$B$70</f>
        <v>1.25</v>
      </c>
      <c r="G34" s="5" t="s">
        <v>255</v>
      </c>
      <c r="H34" s="20" t="n">
        <f aca="false">ROUND(AVERAGE(B34:E34),2)</f>
        <v>1.5</v>
      </c>
      <c r="I34" s="20" t="n">
        <v>5</v>
      </c>
      <c r="J34" s="20" t="n">
        <f aca="false">ROUND(MAX(0,I34-H34)*F34,2)</f>
        <v>4.38</v>
      </c>
      <c r="K34" s="21" t="str">
        <f aca="false">IF(J34&gt;='Scoring Methodology'!$B$34,"Critical",IF(J34&gt;='Scoring Methodology'!$B$35,"High",IF(J34&gt;='Scoring Methodology'!$B$36,"Medium","Low")))</f>
        <v>High</v>
      </c>
      <c r="L34" s="19" t="n">
        <v>4</v>
      </c>
      <c r="M34" s="20" t="n">
        <f aca="false">ROUND(L34-H34,2)</f>
        <v>2.5</v>
      </c>
      <c r="N34" s="5" t="s">
        <v>256</v>
      </c>
      <c r="O34" s="5" t="s">
        <v>257</v>
      </c>
    </row>
    <row r="35" customFormat="false" ht="30" hidden="false" customHeight="true" outlineLevel="0" collapsed="false">
      <c r="A35" s="4" t="s">
        <v>168</v>
      </c>
      <c r="B35" s="16" t="n">
        <v>3</v>
      </c>
      <c r="C35" s="16" t="n">
        <v>2</v>
      </c>
      <c r="D35" s="16" t="n">
        <v>4</v>
      </c>
      <c r="E35" s="16" t="n">
        <v>3</v>
      </c>
      <c r="F35" s="17" t="n">
        <f aca="false">'Scoring Methodology'!$B$71</f>
        <v>1</v>
      </c>
      <c r="G35" s="4" t="s">
        <v>258</v>
      </c>
      <c r="H35" s="17" t="n">
        <f aca="false">ROUND(AVERAGE(B35:E35),2)</f>
        <v>3</v>
      </c>
      <c r="I35" s="17" t="n">
        <v>5</v>
      </c>
      <c r="J35" s="17" t="n">
        <f aca="false">ROUND(MAX(0,I35-H35)*F35,2)</f>
        <v>2</v>
      </c>
      <c r="K35" s="18" t="str">
        <f aca="false">IF(J35&gt;='Scoring Methodology'!$B$34,"Critical",IF(J35&gt;='Scoring Methodology'!$B$35,"High",IF(J35&gt;='Scoring Methodology'!$B$36,"Medium","Low")))</f>
        <v>Medium</v>
      </c>
      <c r="L35" s="16" t="n">
        <v>4.5</v>
      </c>
      <c r="M35" s="17" t="n">
        <f aca="false">ROUND(L35-H35,2)</f>
        <v>1.5</v>
      </c>
      <c r="N35" s="4" t="s">
        <v>259</v>
      </c>
      <c r="O35" s="4" t="s">
        <v>260</v>
      </c>
    </row>
    <row r="36" customFormat="false" ht="30" hidden="false" customHeight="true" outlineLevel="0" collapsed="false">
      <c r="A36" s="5" t="s">
        <v>169</v>
      </c>
      <c r="B36" s="19" t="n">
        <v>1</v>
      </c>
      <c r="C36" s="19" t="n">
        <v>1</v>
      </c>
      <c r="D36" s="19" t="n">
        <v>2</v>
      </c>
      <c r="E36" s="19" t="n">
        <v>1</v>
      </c>
      <c r="F36" s="20" t="n">
        <f aca="false">'Scoring Methodology'!$B$72</f>
        <v>1.25</v>
      </c>
      <c r="G36" s="5" t="s">
        <v>195</v>
      </c>
      <c r="H36" s="20" t="n">
        <f aca="false">ROUND(AVERAGE(B36:E36),2)</f>
        <v>1.25</v>
      </c>
      <c r="I36" s="20" t="n">
        <v>5</v>
      </c>
      <c r="J36" s="20" t="n">
        <f aca="false">ROUND(MAX(0,I36-H36)*F36,2)</f>
        <v>4.69</v>
      </c>
      <c r="K36" s="21" t="str">
        <f aca="false">IF(J36&gt;='Scoring Methodology'!$B$34,"Critical",IF(J36&gt;='Scoring Methodology'!$B$35,"High",IF(J36&gt;='Scoring Methodology'!$B$36,"Medium","Low")))</f>
        <v>Critical</v>
      </c>
      <c r="L36" s="19" t="n">
        <v>4</v>
      </c>
      <c r="M36" s="20" t="n">
        <f aca="false">ROUND(L36-H36,2)</f>
        <v>2.75</v>
      </c>
      <c r="N36" s="5" t="s">
        <v>261</v>
      </c>
      <c r="O36" s="5" t="s">
        <v>262</v>
      </c>
    </row>
    <row r="37" customFormat="false" ht="30" hidden="false" customHeight="true" outlineLevel="0" collapsed="false">
      <c r="A37" s="4" t="s">
        <v>170</v>
      </c>
      <c r="B37" s="16" t="n">
        <v>2</v>
      </c>
      <c r="C37" s="16" t="n">
        <v>2</v>
      </c>
      <c r="D37" s="16" t="n">
        <v>4</v>
      </c>
      <c r="E37" s="16" t="n">
        <v>2</v>
      </c>
      <c r="F37" s="17" t="n">
        <f aca="false">'Scoring Methodology'!$B$73</f>
        <v>1</v>
      </c>
      <c r="G37" s="4" t="s">
        <v>219</v>
      </c>
      <c r="H37" s="17" t="n">
        <f aca="false">ROUND(AVERAGE(B37:E37),2)</f>
        <v>2.5</v>
      </c>
      <c r="I37" s="17" t="n">
        <v>4</v>
      </c>
      <c r="J37" s="17" t="n">
        <f aca="false">ROUND(MAX(0,I37-H37)*F37,2)</f>
        <v>1.5</v>
      </c>
      <c r="K37" s="18" t="str">
        <f aca="false">IF(J37&gt;='Scoring Methodology'!$B$34,"Critical",IF(J37&gt;='Scoring Methodology'!$B$35,"High",IF(J37&gt;='Scoring Methodology'!$B$36,"Medium","Low")))</f>
        <v>Medium</v>
      </c>
      <c r="L37" s="16" t="n">
        <v>4</v>
      </c>
      <c r="M37" s="17" t="n">
        <f aca="false">ROUND(L37-H37,2)</f>
        <v>1.5</v>
      </c>
      <c r="N37" s="4" t="s">
        <v>263</v>
      </c>
      <c r="O37" s="4" t="s">
        <v>264</v>
      </c>
    </row>
    <row r="38" customFormat="false" ht="30" hidden="false" customHeight="true" outlineLevel="0" collapsed="false">
      <c r="A38" s="5" t="s">
        <v>171</v>
      </c>
      <c r="B38" s="19" t="n">
        <v>3</v>
      </c>
      <c r="C38" s="19" t="n">
        <v>2</v>
      </c>
      <c r="D38" s="19" t="n">
        <v>4</v>
      </c>
      <c r="E38" s="19" t="n">
        <v>3</v>
      </c>
      <c r="F38" s="20" t="n">
        <f aca="false">'Scoring Methodology'!$B$74</f>
        <v>1.25</v>
      </c>
      <c r="G38" s="5" t="s">
        <v>195</v>
      </c>
      <c r="H38" s="20" t="n">
        <f aca="false">ROUND(AVERAGE(B38:E38),2)</f>
        <v>3</v>
      </c>
      <c r="I38" s="20" t="n">
        <v>5</v>
      </c>
      <c r="J38" s="20" t="n">
        <f aca="false">ROUND(MAX(0,I38-H38)*F38,2)</f>
        <v>2.5</v>
      </c>
      <c r="K38" s="21" t="str">
        <f aca="false">IF(J38&gt;='Scoring Methodology'!$B$34,"Critical",IF(J38&gt;='Scoring Methodology'!$B$35,"High",IF(J38&gt;='Scoring Methodology'!$B$36,"Medium","Low")))</f>
        <v>Medium</v>
      </c>
      <c r="L38" s="19" t="n">
        <v>4.5</v>
      </c>
      <c r="M38" s="20" t="n">
        <f aca="false">ROUND(L38-H38,2)</f>
        <v>1.5</v>
      </c>
      <c r="N38" s="5" t="s">
        <v>265</v>
      </c>
      <c r="O38" s="5" t="s">
        <v>266</v>
      </c>
    </row>
    <row r="39" customFormat="false" ht="30" hidden="false" customHeight="true" outlineLevel="0" collapsed="false">
      <c r="A39" s="4" t="s">
        <v>172</v>
      </c>
      <c r="B39" s="16" t="n">
        <v>3</v>
      </c>
      <c r="C39" s="16" t="n">
        <v>3</v>
      </c>
      <c r="D39" s="16" t="n">
        <v>4</v>
      </c>
      <c r="E39" s="16" t="n">
        <v>3</v>
      </c>
      <c r="F39" s="17" t="n">
        <f aca="false">'Scoring Methodology'!$B$75</f>
        <v>1</v>
      </c>
      <c r="G39" s="4" t="s">
        <v>192</v>
      </c>
      <c r="H39" s="17" t="n">
        <f aca="false">ROUND(AVERAGE(B39:E39),2)</f>
        <v>3.25</v>
      </c>
      <c r="I39" s="17" t="n">
        <v>4</v>
      </c>
      <c r="J39" s="17" t="n">
        <f aca="false">ROUND(MAX(0,I39-H39)*F39,2)</f>
        <v>0.75</v>
      </c>
      <c r="K39" s="18" t="str">
        <f aca="false">IF(J39&gt;='Scoring Methodology'!$B$34,"Critical",IF(J39&gt;='Scoring Methodology'!$B$35,"High",IF(J39&gt;='Scoring Methodology'!$B$36,"Medium","Low")))</f>
        <v>Low</v>
      </c>
      <c r="L39" s="16" t="n">
        <v>4.25</v>
      </c>
      <c r="M39" s="17" t="n">
        <f aca="false">ROUND(L39-H39,2)</f>
        <v>1</v>
      </c>
      <c r="N39" s="4" t="s">
        <v>267</v>
      </c>
      <c r="O39" s="4" t="s">
        <v>268</v>
      </c>
    </row>
    <row r="41" customFormat="false" ht="32.8" hidden="false" customHeight="false" outlineLevel="0" collapsed="false">
      <c r="A41" s="14" t="s">
        <v>269</v>
      </c>
      <c r="H41" s="22" t="n">
        <f aca="false">ROUND(AVERAGE(H5:H39),2)</f>
        <v>2.28</v>
      </c>
      <c r="J41" s="22" t="n">
        <f aca="false">ROUND(SUM(J5:J39),2)</f>
        <v>107.5</v>
      </c>
      <c r="L41" s="22" t="n">
        <f aca="false">ROUND(AVERAGE(L5:L39),2)</f>
        <v>4.41</v>
      </c>
      <c r="M41" s="22" t="n">
        <f aca="false">ROUND(L41-H41,2)</f>
        <v>2.13</v>
      </c>
      <c r="N41" s="23" t="s">
        <v>270</v>
      </c>
    </row>
  </sheetData>
  <autoFilter ref="A4:O4"/>
  <conditionalFormatting sqref="B5:E39">
    <cfRule type="colorScale" priority="2">
      <colorScale>
        <cfvo type="num" val="0"/>
        <cfvo type="num" val="2.5"/>
        <cfvo type="num" val="5"/>
        <color rgb="FFF4B7B7"/>
        <color rgb="FFFFE9A8"/>
        <color rgb="FFB7DDBE"/>
      </colorScale>
    </cfRule>
  </conditionalFormatting>
  <conditionalFormatting sqref="H5:I39">
    <cfRule type="colorScale" priority="3">
      <colorScale>
        <cfvo type="num" val="0"/>
        <cfvo type="num" val="2.5"/>
        <cfvo type="num" val="5"/>
        <color rgb="FFF4B7B7"/>
        <color rgb="FFFFE9A8"/>
        <color rgb="FFB7DDBE"/>
      </colorScale>
    </cfRule>
  </conditionalFormatting>
  <conditionalFormatting sqref="L5:L39">
    <cfRule type="colorScale" priority="4">
      <colorScale>
        <cfvo type="num" val="0"/>
        <cfvo type="num" val="2.5"/>
        <cfvo type="num" val="5"/>
        <color rgb="FFF4B7B7"/>
        <color rgb="FFFFE9A8"/>
        <color rgb="FFB7DDBE"/>
      </colorScale>
    </cfRule>
  </conditionalFormatting>
  <conditionalFormatting sqref="J5:J39">
    <cfRule type="colorScale" priority="5">
      <colorScale>
        <cfvo type="num" val="0"/>
        <cfvo type="num" val="1.5"/>
        <cfvo type="num" val="3.5"/>
        <color rgb="FFB7DDBE"/>
        <color rgb="FFFFE9A8"/>
        <color rgb="FFF4B7B7"/>
      </colorScale>
    </cfRule>
  </conditionalFormatting>
  <conditionalFormatting sqref="K5:K39">
    <cfRule type="cellIs" priority="6" operator="equal" aboveAverage="0" equalAverage="0" bottom="0" percent="0" rank="0" text="" dxfId="2">
      <formula>"Critical"</formula>
    </cfRule>
    <cfRule type="cellIs" priority="7" operator="equal" aboveAverage="0" equalAverage="0" bottom="0" percent="0" rank="0" text="" dxfId="3">
      <formula>"High"</formula>
    </cfRule>
    <cfRule type="cellIs" priority="8" operator="equal" aboveAverage="0" equalAverage="0" bottom="0" percent="0" rank="0" text="" dxfId="4">
      <formula>"Medium"</formula>
    </cfRule>
    <cfRule type="cellIs" priority="9" operator="equal" aboveAverage="0" equalAverage="0" bottom="0" percent="0" rank="0" text="" dxfId="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11"/>
    <col collapsed="false" customWidth="true" hidden="false" outlineLevel="0" max="4" min="4" style="0" width="12"/>
    <col collapsed="false" customWidth="true" hidden="false" outlineLevel="0" max="6" min="5" style="0" width="62"/>
    <col collapsed="false" customWidth="true" hidden="false" outlineLevel="0" max="7" min="7" style="0" width="20"/>
    <col collapsed="false" customWidth="true" hidden="false" outlineLevel="0" max="8" min="8" style="0" width="22"/>
    <col collapsed="false" customWidth="true" hidden="false" outlineLevel="0" max="9" min="9" style="0" width="20"/>
  </cols>
  <sheetData>
    <row r="1" customFormat="false" ht="17.35" hidden="false" customHeight="false" outlineLevel="0" collapsed="false">
      <c r="A1" s="1" t="s">
        <v>271</v>
      </c>
    </row>
    <row r="2" customFormat="false" ht="15" hidden="false" customHeight="false" outlineLevel="0" collapsed="false">
      <c r="A2" s="2" t="s">
        <v>272</v>
      </c>
    </row>
    <row r="4" customFormat="false" ht="30" hidden="false" customHeight="true" outlineLevel="0" collapsed="false">
      <c r="A4" s="3" t="s">
        <v>273</v>
      </c>
      <c r="B4" s="3" t="s">
        <v>131</v>
      </c>
      <c r="C4" s="3" t="s">
        <v>184</v>
      </c>
      <c r="D4" s="3" t="s">
        <v>115</v>
      </c>
      <c r="E4" s="3" t="s">
        <v>274</v>
      </c>
      <c r="F4" s="3" t="s">
        <v>275</v>
      </c>
      <c r="G4" s="3" t="s">
        <v>187</v>
      </c>
      <c r="H4" s="3" t="s">
        <v>276</v>
      </c>
      <c r="I4" s="3" t="s">
        <v>277</v>
      </c>
    </row>
    <row r="5" customFormat="false" ht="57.75" hidden="false" customHeight="true" outlineLevel="0" collapsed="false">
      <c r="A5" s="17" t="n">
        <v>1</v>
      </c>
      <c r="B5" s="4" t="s">
        <v>134</v>
      </c>
      <c r="C5" s="16" t="str">
        <f aca="false">'Gap Assessment'!K5</f>
        <v>Critical</v>
      </c>
      <c r="D5" s="17" t="n">
        <f aca="false">'Gap Assessment'!J5</f>
        <v>5.63</v>
      </c>
      <c r="E5" s="4" t="s">
        <v>278</v>
      </c>
      <c r="F5" s="4" t="s">
        <v>279</v>
      </c>
      <c r="G5" s="4" t="s">
        <v>190</v>
      </c>
      <c r="H5" s="4" t="s">
        <v>280</v>
      </c>
      <c r="I5" s="4" t="s">
        <v>281</v>
      </c>
    </row>
    <row r="6" customFormat="false" ht="57.75" hidden="false" customHeight="true" outlineLevel="0" collapsed="false">
      <c r="A6" s="20" t="n">
        <v>2</v>
      </c>
      <c r="B6" s="5" t="s">
        <v>150</v>
      </c>
      <c r="C6" s="19" t="str">
        <f aca="false">'Gap Assessment'!K18</f>
        <v>Critical</v>
      </c>
      <c r="D6" s="20" t="n">
        <f aca="false">'Gap Assessment'!J18</f>
        <v>5.63</v>
      </c>
      <c r="E6" s="5" t="s">
        <v>282</v>
      </c>
      <c r="F6" s="5" t="s">
        <v>283</v>
      </c>
      <c r="G6" s="5" t="s">
        <v>217</v>
      </c>
      <c r="H6" s="5" t="s">
        <v>284</v>
      </c>
      <c r="I6" s="5" t="s">
        <v>281</v>
      </c>
    </row>
    <row r="7" customFormat="false" ht="57.75" hidden="false" customHeight="true" outlineLevel="0" collapsed="false">
      <c r="A7" s="17" t="n">
        <v>3</v>
      </c>
      <c r="B7" s="4" t="s">
        <v>138</v>
      </c>
      <c r="C7" s="16" t="str">
        <f aca="false">'Gap Assessment'!K7</f>
        <v>Critical</v>
      </c>
      <c r="D7" s="17" t="n">
        <f aca="false">'Gap Assessment'!J7</f>
        <v>4.69</v>
      </c>
      <c r="E7" s="4" t="s">
        <v>285</v>
      </c>
      <c r="F7" s="4" t="s">
        <v>286</v>
      </c>
      <c r="G7" s="4" t="s">
        <v>196</v>
      </c>
      <c r="H7" s="4" t="s">
        <v>284</v>
      </c>
      <c r="I7" s="4" t="s">
        <v>281</v>
      </c>
    </row>
    <row r="8" customFormat="false" ht="57.75" hidden="false" customHeight="true" outlineLevel="0" collapsed="false">
      <c r="A8" s="20" t="n">
        <v>4</v>
      </c>
      <c r="B8" s="5" t="s">
        <v>169</v>
      </c>
      <c r="C8" s="19" t="str">
        <f aca="false">'Gap Assessment'!K36</f>
        <v>Critical</v>
      </c>
      <c r="D8" s="20" t="n">
        <f aca="false">'Gap Assessment'!J36</f>
        <v>4.69</v>
      </c>
      <c r="E8" s="5" t="s">
        <v>287</v>
      </c>
      <c r="F8" s="5" t="s">
        <v>288</v>
      </c>
      <c r="G8" s="5" t="s">
        <v>261</v>
      </c>
      <c r="H8" s="5" t="s">
        <v>289</v>
      </c>
      <c r="I8" s="5" t="s">
        <v>281</v>
      </c>
    </row>
    <row r="9" customFormat="false" ht="57.75" hidden="false" customHeight="true" outlineLevel="0" collapsed="false">
      <c r="A9" s="17" t="n">
        <v>5</v>
      </c>
      <c r="B9" s="4" t="s">
        <v>154</v>
      </c>
      <c r="C9" s="16" t="str">
        <f aca="false">'Gap Assessment'!K22</f>
        <v>High</v>
      </c>
      <c r="D9" s="17" t="n">
        <f aca="false">'Gap Assessment'!J22</f>
        <v>4.38</v>
      </c>
      <c r="E9" s="4" t="s">
        <v>290</v>
      </c>
      <c r="F9" s="4" t="s">
        <v>291</v>
      </c>
      <c r="G9" s="4" t="s">
        <v>227</v>
      </c>
      <c r="H9" s="4" t="s">
        <v>280</v>
      </c>
      <c r="I9" s="4" t="s">
        <v>281</v>
      </c>
    </row>
    <row r="10" customFormat="false" ht="57.75" hidden="false" customHeight="true" outlineLevel="0" collapsed="false">
      <c r="A10" s="20" t="n">
        <v>6</v>
      </c>
      <c r="B10" s="5" t="s">
        <v>167</v>
      </c>
      <c r="C10" s="19" t="str">
        <f aca="false">'Gap Assessment'!K34</f>
        <v>High</v>
      </c>
      <c r="D10" s="20" t="n">
        <f aca="false">'Gap Assessment'!J34</f>
        <v>4.38</v>
      </c>
      <c r="E10" s="5" t="s">
        <v>292</v>
      </c>
      <c r="F10" s="5" t="s">
        <v>293</v>
      </c>
      <c r="G10" s="5" t="s">
        <v>256</v>
      </c>
      <c r="H10" s="5" t="s">
        <v>294</v>
      </c>
      <c r="I10" s="5" t="s">
        <v>281</v>
      </c>
    </row>
    <row r="11" customFormat="false" ht="57.75" hidden="false" customHeight="true" outlineLevel="0" collapsed="false">
      <c r="A11" s="17" t="n">
        <v>7</v>
      </c>
      <c r="B11" s="4" t="s">
        <v>139</v>
      </c>
      <c r="C11" s="16" t="str">
        <f aca="false">'Gap Assessment'!K8</f>
        <v>High</v>
      </c>
      <c r="D11" s="17" t="n">
        <f aca="false">'Gap Assessment'!J8</f>
        <v>3.75</v>
      </c>
      <c r="E11" s="4" t="s">
        <v>295</v>
      </c>
      <c r="F11" s="4" t="s">
        <v>296</v>
      </c>
      <c r="G11" s="4" t="s">
        <v>198</v>
      </c>
      <c r="H11" s="4" t="s">
        <v>280</v>
      </c>
      <c r="I11" s="4" t="s">
        <v>281</v>
      </c>
    </row>
    <row r="12" customFormat="false" ht="57.75" hidden="false" customHeight="true" outlineLevel="0" collapsed="false">
      <c r="A12" s="20" t="n">
        <v>8</v>
      </c>
      <c r="B12" s="5" t="s">
        <v>140</v>
      </c>
      <c r="C12" s="19" t="str">
        <f aca="false">'Gap Assessment'!K9</f>
        <v>High</v>
      </c>
      <c r="D12" s="20" t="n">
        <f aca="false">'Gap Assessment'!J9</f>
        <v>3.75</v>
      </c>
      <c r="E12" s="5" t="s">
        <v>297</v>
      </c>
      <c r="F12" s="5" t="s">
        <v>298</v>
      </c>
      <c r="G12" s="5" t="s">
        <v>200</v>
      </c>
      <c r="H12" s="5" t="s">
        <v>280</v>
      </c>
      <c r="I12" s="5" t="s">
        <v>281</v>
      </c>
    </row>
    <row r="13" customFormat="false" ht="57.75" hidden="false" customHeight="true" outlineLevel="0" collapsed="false">
      <c r="A13" s="17" t="n">
        <v>9</v>
      </c>
      <c r="B13" s="4" t="s">
        <v>142</v>
      </c>
      <c r="C13" s="16" t="str">
        <f aca="false">'Gap Assessment'!K11</f>
        <v>High</v>
      </c>
      <c r="D13" s="17" t="n">
        <f aca="false">'Gap Assessment'!J11</f>
        <v>3.75</v>
      </c>
      <c r="E13" s="4" t="s">
        <v>299</v>
      </c>
      <c r="F13" s="4" t="s">
        <v>300</v>
      </c>
      <c r="G13" s="4" t="s">
        <v>203</v>
      </c>
      <c r="H13" s="4" t="s">
        <v>280</v>
      </c>
      <c r="I13" s="4" t="s">
        <v>281</v>
      </c>
    </row>
    <row r="14" customFormat="false" ht="57.75" hidden="false" customHeight="true" outlineLevel="0" collapsed="false">
      <c r="A14" s="20" t="n">
        <v>10</v>
      </c>
      <c r="B14" s="5" t="s">
        <v>148</v>
      </c>
      <c r="C14" s="19" t="str">
        <f aca="false">'Gap Assessment'!K16</f>
        <v>High</v>
      </c>
      <c r="D14" s="20" t="n">
        <f aca="false">'Gap Assessment'!J16</f>
        <v>3.75</v>
      </c>
      <c r="E14" s="5" t="s">
        <v>301</v>
      </c>
      <c r="F14" s="5" t="s">
        <v>302</v>
      </c>
      <c r="G14" s="5" t="s">
        <v>214</v>
      </c>
      <c r="H14" s="5" t="s">
        <v>280</v>
      </c>
      <c r="I14" s="5" t="s">
        <v>281</v>
      </c>
    </row>
    <row r="15" customFormat="false" ht="57.75" hidden="false" customHeight="true" outlineLevel="0" collapsed="false">
      <c r="A15" s="17" t="n">
        <v>11</v>
      </c>
      <c r="B15" s="4" t="s">
        <v>149</v>
      </c>
      <c r="C15" s="16" t="str">
        <f aca="false">'Gap Assessment'!K17</f>
        <v>High</v>
      </c>
      <c r="D15" s="17" t="n">
        <f aca="false">'Gap Assessment'!J17</f>
        <v>3.75</v>
      </c>
      <c r="E15" s="4" t="s">
        <v>303</v>
      </c>
      <c r="F15" s="4" t="s">
        <v>304</v>
      </c>
      <c r="G15" s="4" t="s">
        <v>215</v>
      </c>
      <c r="H15" s="4" t="s">
        <v>284</v>
      </c>
      <c r="I15" s="4" t="s">
        <v>281</v>
      </c>
    </row>
    <row r="16" customFormat="false" ht="57.75" hidden="false" customHeight="true" outlineLevel="0" collapsed="false">
      <c r="A16" s="20" t="n">
        <v>12</v>
      </c>
      <c r="B16" s="5" t="s">
        <v>155</v>
      </c>
      <c r="C16" s="19" t="str">
        <f aca="false">'Gap Assessment'!K23</f>
        <v>High</v>
      </c>
      <c r="D16" s="20" t="n">
        <f aca="false">'Gap Assessment'!J23</f>
        <v>3.75</v>
      </c>
      <c r="E16" s="5" t="s">
        <v>305</v>
      </c>
      <c r="F16" s="5" t="s">
        <v>306</v>
      </c>
      <c r="G16" s="5" t="s">
        <v>229</v>
      </c>
      <c r="H16" s="5" t="s">
        <v>280</v>
      </c>
      <c r="I16" s="5" t="s">
        <v>281</v>
      </c>
    </row>
    <row r="17" customFormat="false" ht="57.75" hidden="false" customHeight="true" outlineLevel="0" collapsed="false">
      <c r="A17" s="17" t="n">
        <v>13</v>
      </c>
      <c r="B17" s="4" t="s">
        <v>152</v>
      </c>
      <c r="C17" s="16" t="str">
        <f aca="false">'Gap Assessment'!K20</f>
        <v>High</v>
      </c>
      <c r="D17" s="17" t="n">
        <f aca="false">'Gap Assessment'!J20</f>
        <v>3.5</v>
      </c>
      <c r="E17" s="4" t="s">
        <v>307</v>
      </c>
      <c r="F17" s="4" t="s">
        <v>308</v>
      </c>
      <c r="G17" s="4" t="s">
        <v>222</v>
      </c>
      <c r="H17" s="4" t="s">
        <v>309</v>
      </c>
      <c r="I17" s="4" t="s">
        <v>281</v>
      </c>
    </row>
    <row r="18" customFormat="false" ht="57.75" hidden="false" customHeight="true" outlineLevel="0" collapsed="false">
      <c r="A18" s="20" t="n">
        <v>14</v>
      </c>
      <c r="B18" s="5" t="s">
        <v>136</v>
      </c>
      <c r="C18" s="19" t="str">
        <f aca="false">'Gap Assessment'!K6</f>
        <v>High</v>
      </c>
      <c r="D18" s="20" t="n">
        <f aca="false">'Gap Assessment'!J6</f>
        <v>3.44</v>
      </c>
      <c r="E18" s="5" t="s">
        <v>310</v>
      </c>
      <c r="F18" s="5" t="s">
        <v>311</v>
      </c>
      <c r="G18" s="5" t="s">
        <v>193</v>
      </c>
      <c r="H18" s="5" t="s">
        <v>280</v>
      </c>
      <c r="I18" s="5" t="s">
        <v>281</v>
      </c>
    </row>
    <row r="19" customFormat="false" ht="57.75" hidden="false" customHeight="true" outlineLevel="0" collapsed="false">
      <c r="A19" s="17" t="n">
        <v>15</v>
      </c>
      <c r="B19" s="4" t="s">
        <v>156</v>
      </c>
      <c r="C19" s="16" t="str">
        <f aca="false">'Gap Assessment'!K24</f>
        <v>High</v>
      </c>
      <c r="D19" s="17" t="n">
        <f aca="false">'Gap Assessment'!J24</f>
        <v>3.44</v>
      </c>
      <c r="E19" s="4" t="s">
        <v>312</v>
      </c>
      <c r="F19" s="4" t="s">
        <v>313</v>
      </c>
      <c r="G19" s="4" t="s">
        <v>232</v>
      </c>
      <c r="H19" s="4" t="s">
        <v>314</v>
      </c>
      <c r="I19" s="4" t="s">
        <v>281</v>
      </c>
    </row>
    <row r="20" customFormat="false" ht="57.75" hidden="false" customHeight="true" outlineLevel="0" collapsed="false">
      <c r="A20" s="20" t="n">
        <v>16</v>
      </c>
      <c r="B20" s="5" t="s">
        <v>162</v>
      </c>
      <c r="C20" s="19" t="str">
        <f aca="false">'Gap Assessment'!K29</f>
        <v>High</v>
      </c>
      <c r="D20" s="20" t="n">
        <f aca="false">'Gap Assessment'!J29</f>
        <v>3.44</v>
      </c>
      <c r="E20" s="5" t="s">
        <v>315</v>
      </c>
      <c r="F20" s="5" t="s">
        <v>316</v>
      </c>
      <c r="G20" s="5" t="s">
        <v>244</v>
      </c>
      <c r="H20" s="5" t="s">
        <v>280</v>
      </c>
      <c r="I20" s="5" t="s">
        <v>281</v>
      </c>
    </row>
    <row r="21" customFormat="false" ht="57.75" hidden="false" customHeight="true" outlineLevel="0" collapsed="false">
      <c r="A21" s="17" t="n">
        <v>17</v>
      </c>
      <c r="B21" s="4" t="s">
        <v>141</v>
      </c>
      <c r="C21" s="16" t="str">
        <f aca="false">'Gap Assessment'!K10</f>
        <v>High</v>
      </c>
      <c r="D21" s="17" t="n">
        <f aca="false">'Gap Assessment'!J10</f>
        <v>3.13</v>
      </c>
      <c r="E21" s="4" t="s">
        <v>317</v>
      </c>
      <c r="F21" s="4" t="s">
        <v>318</v>
      </c>
      <c r="G21" s="4" t="s">
        <v>202</v>
      </c>
      <c r="H21" s="4" t="s">
        <v>319</v>
      </c>
      <c r="I21" s="4" t="s">
        <v>281</v>
      </c>
    </row>
    <row r="22" customFormat="false" ht="57.75" hidden="false" customHeight="true" outlineLevel="0" collapsed="false">
      <c r="A22" s="20" t="n">
        <v>18</v>
      </c>
      <c r="B22" s="5" t="s">
        <v>145</v>
      </c>
      <c r="C22" s="19" t="str">
        <f aca="false">'Gap Assessment'!K13</f>
        <v>High</v>
      </c>
      <c r="D22" s="20" t="n">
        <f aca="false">'Gap Assessment'!J13</f>
        <v>3.13</v>
      </c>
      <c r="E22" s="5" t="s">
        <v>320</v>
      </c>
      <c r="F22" s="5" t="s">
        <v>321</v>
      </c>
      <c r="G22" s="5" t="s">
        <v>206</v>
      </c>
      <c r="H22" s="5" t="s">
        <v>280</v>
      </c>
      <c r="I22" s="5" t="s">
        <v>281</v>
      </c>
    </row>
    <row r="23" customFormat="false" ht="57.75" hidden="false" customHeight="true" outlineLevel="0" collapsed="false">
      <c r="A23" s="17" t="n">
        <v>19</v>
      </c>
      <c r="B23" s="4" t="s">
        <v>153</v>
      </c>
      <c r="C23" s="16" t="str">
        <f aca="false">'Gap Assessment'!K21</f>
        <v>High</v>
      </c>
      <c r="D23" s="17" t="n">
        <f aca="false">'Gap Assessment'!J21</f>
        <v>3.13</v>
      </c>
      <c r="E23" s="4" t="s">
        <v>322</v>
      </c>
      <c r="F23" s="4" t="s">
        <v>323</v>
      </c>
      <c r="G23" s="4" t="s">
        <v>224</v>
      </c>
      <c r="H23" s="4" t="s">
        <v>280</v>
      </c>
      <c r="I23" s="4" t="s">
        <v>281</v>
      </c>
    </row>
    <row r="24" customFormat="false" ht="57.75" hidden="false" customHeight="true" outlineLevel="0" collapsed="false">
      <c r="A24" s="20" t="n">
        <v>20</v>
      </c>
      <c r="B24" s="5" t="s">
        <v>160</v>
      </c>
      <c r="C24" s="19" t="str">
        <f aca="false">'Gap Assessment'!K27</f>
        <v>High</v>
      </c>
      <c r="D24" s="20" t="n">
        <f aca="false">'Gap Assessment'!J27</f>
        <v>3.13</v>
      </c>
      <c r="E24" s="5" t="s">
        <v>324</v>
      </c>
      <c r="F24" s="5" t="s">
        <v>325</v>
      </c>
      <c r="G24" s="5" t="s">
        <v>239</v>
      </c>
      <c r="H24" s="5" t="s">
        <v>326</v>
      </c>
      <c r="I24" s="5" t="s">
        <v>281</v>
      </c>
    </row>
    <row r="25" customFormat="false" ht="57.75" hidden="false" customHeight="true" outlineLevel="0" collapsed="false">
      <c r="A25" s="17" t="n">
        <v>21</v>
      </c>
      <c r="B25" s="4" t="s">
        <v>157</v>
      </c>
      <c r="C25" s="16" t="str">
        <f aca="false">'Gap Assessment'!K25</f>
        <v>High</v>
      </c>
      <c r="D25" s="17" t="n">
        <f aca="false">'Gap Assessment'!J25</f>
        <v>3</v>
      </c>
      <c r="E25" s="4" t="s">
        <v>327</v>
      </c>
      <c r="F25" s="4" t="s">
        <v>328</v>
      </c>
      <c r="G25" s="4" t="s">
        <v>234</v>
      </c>
      <c r="H25" s="4" t="s">
        <v>280</v>
      </c>
      <c r="I25" s="4" t="s">
        <v>281</v>
      </c>
    </row>
    <row r="26" customFormat="false" ht="57.75" hidden="false" customHeight="true" outlineLevel="0" collapsed="false">
      <c r="A26" s="20" t="n">
        <v>22</v>
      </c>
      <c r="B26" s="5" t="s">
        <v>146</v>
      </c>
      <c r="C26" s="19" t="str">
        <f aca="false">'Gap Assessment'!K14</f>
        <v>Medium</v>
      </c>
      <c r="D26" s="20" t="n">
        <f aca="false">'Gap Assessment'!J14</f>
        <v>2.81</v>
      </c>
      <c r="E26" s="5" t="s">
        <v>329</v>
      </c>
      <c r="F26" s="5" t="s">
        <v>330</v>
      </c>
      <c r="G26" s="5" t="s">
        <v>209</v>
      </c>
      <c r="H26" s="5" t="s">
        <v>331</v>
      </c>
      <c r="I26" s="5" t="s">
        <v>281</v>
      </c>
    </row>
    <row r="27" customFormat="false" ht="57.75" hidden="false" customHeight="true" outlineLevel="0" collapsed="false">
      <c r="A27" s="17" t="n">
        <v>23</v>
      </c>
      <c r="B27" s="4" t="s">
        <v>147</v>
      </c>
      <c r="C27" s="16" t="str">
        <f aca="false">'Gap Assessment'!K15</f>
        <v>Medium</v>
      </c>
      <c r="D27" s="17" t="n">
        <f aca="false">'Gap Assessment'!J15</f>
        <v>2.75</v>
      </c>
      <c r="E27" s="4" t="s">
        <v>332</v>
      </c>
      <c r="F27" s="4" t="s">
        <v>333</v>
      </c>
      <c r="G27" s="4" t="s">
        <v>212</v>
      </c>
      <c r="H27" s="4" t="s">
        <v>280</v>
      </c>
      <c r="I27" s="4" t="s">
        <v>281</v>
      </c>
    </row>
    <row r="28" customFormat="false" ht="57.75" hidden="false" customHeight="true" outlineLevel="0" collapsed="false">
      <c r="A28" s="20" t="n">
        <v>24</v>
      </c>
      <c r="B28" s="5" t="s">
        <v>151</v>
      </c>
      <c r="C28" s="19" t="str">
        <f aca="false">'Gap Assessment'!K19</f>
        <v>Medium</v>
      </c>
      <c r="D28" s="20" t="n">
        <f aca="false">'Gap Assessment'!J19</f>
        <v>2.5</v>
      </c>
      <c r="E28" s="5" t="s">
        <v>334</v>
      </c>
      <c r="F28" s="5" t="s">
        <v>335</v>
      </c>
      <c r="G28" s="5" t="s">
        <v>220</v>
      </c>
      <c r="H28" s="5" t="s">
        <v>280</v>
      </c>
      <c r="I28" s="5" t="s">
        <v>281</v>
      </c>
    </row>
    <row r="29" customFormat="false" ht="57.75" hidden="false" customHeight="true" outlineLevel="0" collapsed="false">
      <c r="A29" s="17" t="n">
        <v>25</v>
      </c>
      <c r="B29" s="4" t="s">
        <v>171</v>
      </c>
      <c r="C29" s="16" t="str">
        <f aca="false">'Gap Assessment'!K38</f>
        <v>Medium</v>
      </c>
      <c r="D29" s="17" t="n">
        <f aca="false">'Gap Assessment'!J38</f>
        <v>2.5</v>
      </c>
      <c r="E29" s="4" t="s">
        <v>336</v>
      </c>
      <c r="F29" s="4" t="s">
        <v>337</v>
      </c>
      <c r="G29" s="4" t="s">
        <v>265</v>
      </c>
      <c r="H29" s="4" t="s">
        <v>338</v>
      </c>
      <c r="I29" s="4" t="s">
        <v>281</v>
      </c>
    </row>
    <row r="30" customFormat="false" ht="57.75" hidden="false" customHeight="true" outlineLevel="0" collapsed="false">
      <c r="A30" s="20" t="n">
        <v>26</v>
      </c>
      <c r="B30" s="5" t="s">
        <v>164</v>
      </c>
      <c r="C30" s="19" t="str">
        <f aca="false">'Gap Assessment'!K31</f>
        <v>Medium</v>
      </c>
      <c r="D30" s="20" t="n">
        <f aca="false">'Gap Assessment'!J31</f>
        <v>2.19</v>
      </c>
      <c r="E30" s="5" t="s">
        <v>339</v>
      </c>
      <c r="F30" s="5" t="s">
        <v>340</v>
      </c>
      <c r="G30" s="5" t="s">
        <v>249</v>
      </c>
      <c r="H30" s="5" t="s">
        <v>280</v>
      </c>
      <c r="I30" s="5" t="s">
        <v>281</v>
      </c>
    </row>
    <row r="31" customFormat="false" ht="57.75" hidden="false" customHeight="true" outlineLevel="0" collapsed="false">
      <c r="A31" s="17" t="n">
        <v>27</v>
      </c>
      <c r="B31" s="4" t="s">
        <v>158</v>
      </c>
      <c r="C31" s="16" t="str">
        <f aca="false">'Gap Assessment'!K26</f>
        <v>Medium</v>
      </c>
      <c r="D31" s="17" t="n">
        <f aca="false">'Gap Assessment'!J26</f>
        <v>2.06</v>
      </c>
      <c r="E31" s="4" t="s">
        <v>341</v>
      </c>
      <c r="F31" s="4" t="s">
        <v>342</v>
      </c>
      <c r="G31" s="4" t="s">
        <v>236</v>
      </c>
      <c r="H31" s="4" t="s">
        <v>280</v>
      </c>
      <c r="I31" s="4" t="s">
        <v>281</v>
      </c>
    </row>
    <row r="32" customFormat="false" ht="57.75" hidden="false" customHeight="true" outlineLevel="0" collapsed="false">
      <c r="A32" s="20" t="n">
        <v>28</v>
      </c>
      <c r="B32" s="5" t="s">
        <v>143</v>
      </c>
      <c r="C32" s="19" t="str">
        <f aca="false">'Gap Assessment'!K12</f>
        <v>Medium</v>
      </c>
      <c r="D32" s="20" t="n">
        <f aca="false">'Gap Assessment'!J12</f>
        <v>2</v>
      </c>
      <c r="E32" s="5" t="s">
        <v>343</v>
      </c>
      <c r="F32" s="5" t="s">
        <v>344</v>
      </c>
      <c r="G32" s="5" t="s">
        <v>204</v>
      </c>
      <c r="H32" s="5" t="s">
        <v>280</v>
      </c>
      <c r="I32" s="5" t="s">
        <v>281</v>
      </c>
    </row>
    <row r="33" customFormat="false" ht="57.75" hidden="false" customHeight="true" outlineLevel="0" collapsed="false">
      <c r="A33" s="17" t="n">
        <v>29</v>
      </c>
      <c r="B33" s="4" t="s">
        <v>161</v>
      </c>
      <c r="C33" s="16" t="str">
        <f aca="false">'Gap Assessment'!K28</f>
        <v>Medium</v>
      </c>
      <c r="D33" s="17" t="n">
        <f aca="false">'Gap Assessment'!J28</f>
        <v>2</v>
      </c>
      <c r="E33" s="4" t="s">
        <v>345</v>
      </c>
      <c r="F33" s="4" t="s">
        <v>346</v>
      </c>
      <c r="G33" s="4" t="s">
        <v>242</v>
      </c>
      <c r="H33" s="4" t="s">
        <v>347</v>
      </c>
      <c r="I33" s="4" t="s">
        <v>281</v>
      </c>
    </row>
    <row r="34" customFormat="false" ht="57.75" hidden="false" customHeight="true" outlineLevel="0" collapsed="false">
      <c r="A34" s="20" t="n">
        <v>30</v>
      </c>
      <c r="B34" s="5" t="s">
        <v>168</v>
      </c>
      <c r="C34" s="19" t="str">
        <f aca="false">'Gap Assessment'!K35</f>
        <v>Medium</v>
      </c>
      <c r="D34" s="20" t="n">
        <f aca="false">'Gap Assessment'!J35</f>
        <v>2</v>
      </c>
      <c r="E34" s="5" t="s">
        <v>348</v>
      </c>
      <c r="F34" s="5" t="s">
        <v>349</v>
      </c>
      <c r="G34" s="5" t="s">
        <v>259</v>
      </c>
      <c r="H34" s="5" t="s">
        <v>284</v>
      </c>
      <c r="I34" s="5" t="s">
        <v>281</v>
      </c>
    </row>
    <row r="35" customFormat="false" ht="57.75" hidden="false" customHeight="true" outlineLevel="0" collapsed="false">
      <c r="A35" s="17" t="n">
        <v>31</v>
      </c>
      <c r="B35" s="4" t="s">
        <v>170</v>
      </c>
      <c r="C35" s="16" t="str">
        <f aca="false">'Gap Assessment'!K37</f>
        <v>Medium</v>
      </c>
      <c r="D35" s="17" t="n">
        <f aca="false">'Gap Assessment'!J37</f>
        <v>1.5</v>
      </c>
      <c r="E35" s="4" t="s">
        <v>350</v>
      </c>
      <c r="F35" s="4" t="s">
        <v>351</v>
      </c>
      <c r="G35" s="4" t="s">
        <v>263</v>
      </c>
      <c r="H35" s="4" t="s">
        <v>319</v>
      </c>
      <c r="I35" s="4" t="s">
        <v>281</v>
      </c>
    </row>
    <row r="36" customFormat="false" ht="57.75" hidden="false" customHeight="true" outlineLevel="0" collapsed="false">
      <c r="A36" s="20" t="n">
        <v>32</v>
      </c>
      <c r="B36" s="5" t="s">
        <v>163</v>
      </c>
      <c r="C36" s="19" t="str">
        <f aca="false">'Gap Assessment'!K30</f>
        <v>Low</v>
      </c>
      <c r="D36" s="20" t="n">
        <f aca="false">'Gap Assessment'!J30</f>
        <v>1.13</v>
      </c>
      <c r="E36" s="5" t="s">
        <v>352</v>
      </c>
      <c r="F36" s="5" t="s">
        <v>353</v>
      </c>
      <c r="G36" s="5" t="s">
        <v>246</v>
      </c>
      <c r="H36" s="5" t="s">
        <v>289</v>
      </c>
      <c r="I36" s="5" t="s">
        <v>281</v>
      </c>
    </row>
    <row r="37" customFormat="false" ht="57.75" hidden="false" customHeight="true" outlineLevel="0" collapsed="false">
      <c r="A37" s="17" t="n">
        <v>33</v>
      </c>
      <c r="B37" s="4" t="s">
        <v>165</v>
      </c>
      <c r="C37" s="16" t="str">
        <f aca="false">'Gap Assessment'!K32</f>
        <v>Low</v>
      </c>
      <c r="D37" s="17" t="n">
        <f aca="false">'Gap Assessment'!J32</f>
        <v>1.13</v>
      </c>
      <c r="E37" s="4" t="s">
        <v>354</v>
      </c>
      <c r="F37" s="4" t="s">
        <v>355</v>
      </c>
      <c r="G37" s="4" t="s">
        <v>251</v>
      </c>
      <c r="H37" s="4" t="s">
        <v>356</v>
      </c>
      <c r="I37" s="4" t="s">
        <v>281</v>
      </c>
    </row>
    <row r="38" customFormat="false" ht="57.75" hidden="false" customHeight="true" outlineLevel="0" collapsed="false">
      <c r="A38" s="20" t="n">
        <v>34</v>
      </c>
      <c r="B38" s="5" t="s">
        <v>166</v>
      </c>
      <c r="C38" s="19" t="str">
        <f aca="false">'Gap Assessment'!K33</f>
        <v>Low</v>
      </c>
      <c r="D38" s="20" t="n">
        <f aca="false">'Gap Assessment'!J33</f>
        <v>0.94</v>
      </c>
      <c r="E38" s="5" t="s">
        <v>357</v>
      </c>
      <c r="F38" s="5" t="s">
        <v>358</v>
      </c>
      <c r="G38" s="5" t="s">
        <v>253</v>
      </c>
      <c r="H38" s="5" t="s">
        <v>359</v>
      </c>
      <c r="I38" s="5" t="s">
        <v>281</v>
      </c>
    </row>
    <row r="39" customFormat="false" ht="57.75" hidden="false" customHeight="true" outlineLevel="0" collapsed="false">
      <c r="A39" s="17" t="n">
        <v>35</v>
      </c>
      <c r="B39" s="4" t="s">
        <v>172</v>
      </c>
      <c r="C39" s="16" t="str">
        <f aca="false">'Gap Assessment'!K39</f>
        <v>Low</v>
      </c>
      <c r="D39" s="17" t="n">
        <f aca="false">'Gap Assessment'!J39</f>
        <v>0.75</v>
      </c>
      <c r="E39" s="4" t="s">
        <v>360</v>
      </c>
      <c r="F39" s="4" t="s">
        <v>361</v>
      </c>
      <c r="G39" s="4" t="s">
        <v>267</v>
      </c>
      <c r="H39" s="4" t="s">
        <v>319</v>
      </c>
      <c r="I39" s="4" t="s">
        <v>281</v>
      </c>
    </row>
  </sheetData>
  <autoFilter ref="A4:I4"/>
  <conditionalFormatting sqref="C5:C39">
    <cfRule type="cellIs" priority="2" operator="equal" aboveAverage="0" equalAverage="0" bottom="0" percent="0" rank="0" text="" dxfId="2">
      <formula>"Critical"</formula>
    </cfRule>
    <cfRule type="cellIs" priority="3" operator="equal" aboveAverage="0" equalAverage="0" bottom="0" percent="0" rank="0" text="" dxfId="3">
      <formula>"High"</formula>
    </cfRule>
    <cfRule type="cellIs" priority="4" operator="equal" aboveAverage="0" equalAverage="0" bottom="0" percent="0" rank="0" text="" dxfId="4">
      <formula>"Medium"</formula>
    </cfRule>
    <cfRule type="cellIs" priority="5" operator="equal" aboveAverage="0" equalAverage="0" bottom="0" percent="0" rank="0" text="" dxfId="5">
      <formula>"Low"</formula>
    </cfRule>
  </conditionalFormatting>
  <conditionalFormatting sqref="D5:D39">
    <cfRule type="colorScale" priority="6">
      <colorScale>
        <cfvo type="num" val="0"/>
        <cfvo type="num" val="1.5"/>
        <cfvo type="num" val="3.5"/>
        <color rgb="FFB7DDBE"/>
        <color rgb="FFFFE9A8"/>
        <color rgb="FFF4B7B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9" min="2" style="0" width="40"/>
    <col collapsed="false" customWidth="true" hidden="false" outlineLevel="0" max="10" min="10" style="0" width="46"/>
  </cols>
  <sheetData>
    <row r="1" customFormat="false" ht="17.35" hidden="false" customHeight="false" outlineLevel="0" collapsed="false">
      <c r="A1" s="1" t="s">
        <v>362</v>
      </c>
    </row>
    <row r="2" customFormat="false" ht="15" hidden="false" customHeight="false" outlineLevel="0" collapsed="false">
      <c r="A2" s="2" t="s">
        <v>363</v>
      </c>
    </row>
    <row r="4" customFormat="false" ht="30" hidden="false" customHeight="true" outlineLevel="0" collapsed="false">
      <c r="A4" s="3" t="s">
        <v>131</v>
      </c>
      <c r="B4" s="3" t="s">
        <v>364</v>
      </c>
      <c r="C4" s="3" t="s">
        <v>365</v>
      </c>
      <c r="D4" s="3" t="s">
        <v>195</v>
      </c>
      <c r="E4" s="3" t="s">
        <v>192</v>
      </c>
      <c r="F4" s="3" t="s">
        <v>366</v>
      </c>
      <c r="G4" s="3" t="s">
        <v>367</v>
      </c>
      <c r="H4" s="3" t="s">
        <v>248</v>
      </c>
      <c r="I4" s="3" t="s">
        <v>368</v>
      </c>
      <c r="J4" s="3" t="s">
        <v>369</v>
      </c>
    </row>
    <row r="5" customFormat="false" ht="75.75" hidden="false" customHeight="true" outlineLevel="0" collapsed="false">
      <c r="A5" s="4" t="s">
        <v>370</v>
      </c>
      <c r="B5" s="4" t="s">
        <v>371</v>
      </c>
      <c r="C5" s="4" t="s">
        <v>372</v>
      </c>
      <c r="D5" s="4" t="s">
        <v>373</v>
      </c>
      <c r="E5" s="4" t="s">
        <v>374</v>
      </c>
      <c r="F5" s="4" t="s">
        <v>375</v>
      </c>
      <c r="G5" s="4" t="s">
        <v>376</v>
      </c>
      <c r="H5" s="4" t="s">
        <v>377</v>
      </c>
      <c r="I5" s="4" t="s">
        <v>378</v>
      </c>
      <c r="J5" s="4" t="s">
        <v>379</v>
      </c>
    </row>
    <row r="6" customFormat="false" ht="75.75" hidden="false" customHeight="true" outlineLevel="0" collapsed="false">
      <c r="A6" s="5" t="s">
        <v>380</v>
      </c>
      <c r="B6" s="5" t="s">
        <v>381</v>
      </c>
      <c r="C6" s="5" t="s">
        <v>382</v>
      </c>
      <c r="D6" s="5" t="s">
        <v>383</v>
      </c>
      <c r="E6" s="5" t="s">
        <v>384</v>
      </c>
      <c r="F6" s="5" t="s">
        <v>385</v>
      </c>
      <c r="G6" s="5" t="s">
        <v>386</v>
      </c>
      <c r="H6" s="5" t="s">
        <v>387</v>
      </c>
      <c r="I6" s="5" t="s">
        <v>388</v>
      </c>
      <c r="J6" s="5" t="s">
        <v>389</v>
      </c>
    </row>
    <row r="7" customFormat="false" ht="75.75" hidden="false" customHeight="true" outlineLevel="0" collapsed="false">
      <c r="A7" s="4" t="s">
        <v>390</v>
      </c>
      <c r="B7" s="4" t="s">
        <v>391</v>
      </c>
      <c r="C7" s="4" t="s">
        <v>392</v>
      </c>
      <c r="D7" s="4" t="s">
        <v>393</v>
      </c>
      <c r="E7" s="4" t="s">
        <v>394</v>
      </c>
      <c r="F7" s="4" t="s">
        <v>395</v>
      </c>
      <c r="G7" s="4" t="s">
        <v>395</v>
      </c>
      <c r="H7" s="4" t="s">
        <v>391</v>
      </c>
      <c r="I7" s="4" t="s">
        <v>391</v>
      </c>
      <c r="J7" s="4" t="s">
        <v>396</v>
      </c>
    </row>
    <row r="8" customFormat="false" ht="75.75" hidden="false" customHeight="true" outlineLevel="0" collapsed="false">
      <c r="A8" s="5" t="s">
        <v>397</v>
      </c>
      <c r="B8" s="5" t="s">
        <v>398</v>
      </c>
      <c r="C8" s="5" t="s">
        <v>399</v>
      </c>
      <c r="D8" s="5" t="s">
        <v>400</v>
      </c>
      <c r="E8" s="5" t="s">
        <v>401</v>
      </c>
      <c r="F8" s="5" t="s">
        <v>402</v>
      </c>
      <c r="G8" s="5" t="s">
        <v>403</v>
      </c>
      <c r="H8" s="5" t="s">
        <v>404</v>
      </c>
      <c r="I8" s="5" t="s">
        <v>404</v>
      </c>
      <c r="J8" s="5" t="s">
        <v>405</v>
      </c>
    </row>
    <row r="9" customFormat="false" ht="75.75" hidden="false" customHeight="true" outlineLevel="0" collapsed="false">
      <c r="A9" s="4" t="s">
        <v>406</v>
      </c>
      <c r="B9" s="4" t="s">
        <v>407</v>
      </c>
      <c r="C9" s="4" t="s">
        <v>408</v>
      </c>
      <c r="D9" s="4" t="s">
        <v>409</v>
      </c>
      <c r="E9" s="4" t="s">
        <v>410</v>
      </c>
      <c r="F9" s="4" t="s">
        <v>411</v>
      </c>
      <c r="G9" s="4" t="s">
        <v>412</v>
      </c>
      <c r="H9" s="4" t="s">
        <v>413</v>
      </c>
      <c r="I9" s="4" t="s">
        <v>414</v>
      </c>
      <c r="J9" s="4" t="s">
        <v>415</v>
      </c>
    </row>
    <row r="10" customFormat="false" ht="75.75" hidden="false" customHeight="true" outlineLevel="0" collapsed="false">
      <c r="A10" s="5" t="s">
        <v>416</v>
      </c>
      <c r="B10" s="5" t="s">
        <v>417</v>
      </c>
      <c r="C10" s="5" t="s">
        <v>418</v>
      </c>
      <c r="D10" s="5" t="s">
        <v>419</v>
      </c>
      <c r="E10" s="5" t="s">
        <v>420</v>
      </c>
      <c r="F10" s="5" t="s">
        <v>421</v>
      </c>
      <c r="G10" s="5" t="s">
        <v>412</v>
      </c>
      <c r="H10" s="5" t="s">
        <v>391</v>
      </c>
      <c r="I10" s="5" t="s">
        <v>422</v>
      </c>
      <c r="J10" s="5" t="s">
        <v>423</v>
      </c>
    </row>
    <row r="11" customFormat="false" ht="75.75" hidden="false" customHeight="true" outlineLevel="0" collapsed="false">
      <c r="A11" s="4" t="s">
        <v>138</v>
      </c>
      <c r="B11" s="4" t="s">
        <v>424</v>
      </c>
      <c r="C11" s="4" t="s">
        <v>425</v>
      </c>
      <c r="D11" s="4" t="s">
        <v>426</v>
      </c>
      <c r="E11" s="4" t="s">
        <v>427</v>
      </c>
      <c r="F11" s="4" t="s">
        <v>428</v>
      </c>
      <c r="G11" s="4" t="s">
        <v>429</v>
      </c>
      <c r="H11" s="4" t="s">
        <v>391</v>
      </c>
      <c r="I11" s="4" t="s">
        <v>430</v>
      </c>
      <c r="J11" s="4" t="s">
        <v>431</v>
      </c>
    </row>
    <row r="12" customFormat="false" ht="75.75" hidden="false" customHeight="true" outlineLevel="0" collapsed="false">
      <c r="A12" s="5" t="s">
        <v>432</v>
      </c>
      <c r="B12" s="5" t="s">
        <v>433</v>
      </c>
      <c r="C12" s="5" t="s">
        <v>434</v>
      </c>
      <c r="D12" s="5" t="s">
        <v>435</v>
      </c>
      <c r="E12" s="5" t="s">
        <v>436</v>
      </c>
      <c r="F12" s="5" t="s">
        <v>437</v>
      </c>
      <c r="G12" s="5" t="s">
        <v>438</v>
      </c>
      <c r="H12" s="5" t="s">
        <v>391</v>
      </c>
      <c r="I12" s="5" t="s">
        <v>439</v>
      </c>
      <c r="J12" s="5" t="s">
        <v>440</v>
      </c>
    </row>
    <row r="13" customFormat="false" ht="75.75" hidden="false" customHeight="true" outlineLevel="0" collapsed="false">
      <c r="A13" s="4" t="s">
        <v>441</v>
      </c>
      <c r="B13" s="4" t="s">
        <v>442</v>
      </c>
      <c r="C13" s="4" t="s">
        <v>443</v>
      </c>
      <c r="D13" s="4" t="s">
        <v>444</v>
      </c>
      <c r="E13" s="4" t="s">
        <v>445</v>
      </c>
      <c r="F13" s="4" t="s">
        <v>446</v>
      </c>
      <c r="G13" s="4" t="s">
        <v>447</v>
      </c>
      <c r="H13" s="4" t="s">
        <v>448</v>
      </c>
      <c r="I13" s="4" t="s">
        <v>449</v>
      </c>
      <c r="J13" s="4" t="s">
        <v>450</v>
      </c>
    </row>
    <row r="14" customFormat="false" ht="75.75" hidden="false" customHeight="true" outlineLevel="0" collapsed="false">
      <c r="A14" s="5" t="s">
        <v>145</v>
      </c>
      <c r="B14" s="5" t="s">
        <v>451</v>
      </c>
      <c r="C14" s="5" t="s">
        <v>452</v>
      </c>
      <c r="D14" s="5" t="s">
        <v>453</v>
      </c>
      <c r="E14" s="5" t="s">
        <v>454</v>
      </c>
      <c r="F14" s="5" t="s">
        <v>455</v>
      </c>
      <c r="G14" s="5" t="s">
        <v>456</v>
      </c>
      <c r="H14" s="5" t="s">
        <v>457</v>
      </c>
      <c r="I14" s="5" t="s">
        <v>458</v>
      </c>
      <c r="J14" s="5" t="s">
        <v>459</v>
      </c>
    </row>
    <row r="15" customFormat="false" ht="75.75" hidden="false" customHeight="true" outlineLevel="0" collapsed="false">
      <c r="A15" s="4" t="s">
        <v>460</v>
      </c>
      <c r="B15" s="4" t="s">
        <v>461</v>
      </c>
      <c r="C15" s="4" t="s">
        <v>462</v>
      </c>
      <c r="D15" s="4" t="s">
        <v>463</v>
      </c>
      <c r="E15" s="4" t="s">
        <v>464</v>
      </c>
      <c r="F15" s="4" t="s">
        <v>465</v>
      </c>
      <c r="G15" s="4" t="s">
        <v>466</v>
      </c>
      <c r="H15" s="4" t="s">
        <v>467</v>
      </c>
      <c r="I15" s="4" t="s">
        <v>468</v>
      </c>
      <c r="J15" s="4" t="s">
        <v>469</v>
      </c>
    </row>
    <row r="16" customFormat="false" ht="75.75" hidden="false" customHeight="true" outlineLevel="0" collapsed="false">
      <c r="A16" s="5" t="s">
        <v>470</v>
      </c>
      <c r="B16" s="5" t="s">
        <v>471</v>
      </c>
      <c r="C16" s="5" t="s">
        <v>472</v>
      </c>
      <c r="D16" s="5" t="s">
        <v>473</v>
      </c>
      <c r="E16" s="5" t="s">
        <v>474</v>
      </c>
      <c r="F16" s="5" t="s">
        <v>475</v>
      </c>
      <c r="G16" s="5" t="s">
        <v>476</v>
      </c>
      <c r="H16" s="5" t="s">
        <v>391</v>
      </c>
      <c r="I16" s="5" t="s">
        <v>477</v>
      </c>
      <c r="J16" s="5" t="s">
        <v>478</v>
      </c>
    </row>
    <row r="17" customFormat="false" ht="75.75" hidden="false" customHeight="true" outlineLevel="0" collapsed="false">
      <c r="A17" s="4" t="s">
        <v>479</v>
      </c>
      <c r="B17" s="4" t="s">
        <v>480</v>
      </c>
      <c r="C17" s="4" t="s">
        <v>481</v>
      </c>
      <c r="D17" s="4" t="s">
        <v>482</v>
      </c>
      <c r="E17" s="4" t="s">
        <v>483</v>
      </c>
      <c r="F17" s="4" t="s">
        <v>484</v>
      </c>
      <c r="G17" s="4" t="s">
        <v>485</v>
      </c>
      <c r="H17" s="4" t="s">
        <v>391</v>
      </c>
      <c r="I17" s="4" t="s">
        <v>486</v>
      </c>
      <c r="J17" s="4" t="s">
        <v>487</v>
      </c>
    </row>
    <row r="18" customFormat="false" ht="75.75" hidden="false" customHeight="true" outlineLevel="0" collapsed="false">
      <c r="A18" s="5" t="s">
        <v>149</v>
      </c>
      <c r="B18" s="5" t="s">
        <v>488</v>
      </c>
      <c r="C18" s="5" t="s">
        <v>489</v>
      </c>
      <c r="D18" s="5" t="s">
        <v>490</v>
      </c>
      <c r="E18" s="5" t="s">
        <v>491</v>
      </c>
      <c r="F18" s="5" t="s">
        <v>492</v>
      </c>
      <c r="G18" s="5" t="s">
        <v>493</v>
      </c>
      <c r="H18" s="5" t="s">
        <v>391</v>
      </c>
      <c r="I18" s="5" t="s">
        <v>494</v>
      </c>
      <c r="J18" s="5" t="s">
        <v>495</v>
      </c>
    </row>
    <row r="19" customFormat="false" ht="75.75" hidden="false" customHeight="true" outlineLevel="0" collapsed="false">
      <c r="A19" s="4" t="s">
        <v>496</v>
      </c>
      <c r="B19" s="4" t="s">
        <v>497</v>
      </c>
      <c r="C19" s="4" t="s">
        <v>498</v>
      </c>
      <c r="D19" s="4" t="s">
        <v>499</v>
      </c>
      <c r="E19" s="4" t="s">
        <v>500</v>
      </c>
      <c r="F19" s="4" t="s">
        <v>501</v>
      </c>
      <c r="G19" s="4" t="s">
        <v>502</v>
      </c>
      <c r="H19" s="4" t="s">
        <v>391</v>
      </c>
      <c r="I19" s="4" t="s">
        <v>391</v>
      </c>
      <c r="J19" s="4" t="s">
        <v>503</v>
      </c>
    </row>
    <row r="20" customFormat="false" ht="75.75" hidden="false" customHeight="true" outlineLevel="0" collapsed="false">
      <c r="A20" s="5" t="s">
        <v>150</v>
      </c>
      <c r="B20" s="5" t="s">
        <v>504</v>
      </c>
      <c r="C20" s="5" t="s">
        <v>505</v>
      </c>
      <c r="D20" s="5" t="s">
        <v>506</v>
      </c>
      <c r="E20" s="5" t="s">
        <v>507</v>
      </c>
      <c r="F20" s="5" t="s">
        <v>508</v>
      </c>
      <c r="G20" s="5" t="s">
        <v>509</v>
      </c>
      <c r="H20" s="5" t="s">
        <v>391</v>
      </c>
      <c r="I20" s="5" t="s">
        <v>391</v>
      </c>
      <c r="J20" s="5" t="s">
        <v>510</v>
      </c>
    </row>
    <row r="21" customFormat="false" ht="75.75" hidden="false" customHeight="true" outlineLevel="0" collapsed="false">
      <c r="A21" s="4" t="s">
        <v>154</v>
      </c>
      <c r="B21" s="4" t="s">
        <v>511</v>
      </c>
      <c r="C21" s="4" t="s">
        <v>512</v>
      </c>
      <c r="D21" s="4" t="s">
        <v>513</v>
      </c>
      <c r="E21" s="4" t="s">
        <v>514</v>
      </c>
      <c r="F21" s="4" t="s">
        <v>515</v>
      </c>
      <c r="G21" s="4" t="s">
        <v>516</v>
      </c>
      <c r="H21" s="4" t="s">
        <v>391</v>
      </c>
      <c r="I21" s="4" t="s">
        <v>517</v>
      </c>
      <c r="J21" s="4" t="s">
        <v>518</v>
      </c>
    </row>
    <row r="22" customFormat="false" ht="75.75" hidden="false" customHeight="true" outlineLevel="0" collapsed="false">
      <c r="A22" s="5" t="s">
        <v>519</v>
      </c>
      <c r="B22" s="5" t="s">
        <v>520</v>
      </c>
      <c r="C22" s="5" t="s">
        <v>521</v>
      </c>
      <c r="D22" s="5" t="s">
        <v>522</v>
      </c>
      <c r="E22" s="5" t="s">
        <v>523</v>
      </c>
      <c r="F22" s="5" t="s">
        <v>524</v>
      </c>
      <c r="G22" s="5" t="s">
        <v>525</v>
      </c>
      <c r="H22" s="5" t="s">
        <v>391</v>
      </c>
      <c r="I22" s="5" t="s">
        <v>391</v>
      </c>
      <c r="J22" s="5" t="s">
        <v>526</v>
      </c>
    </row>
    <row r="23" customFormat="false" ht="75.75" hidden="false" customHeight="true" outlineLevel="0" collapsed="false">
      <c r="A23" s="4" t="s">
        <v>527</v>
      </c>
      <c r="B23" s="4" t="s">
        <v>528</v>
      </c>
      <c r="C23" s="4" t="s">
        <v>529</v>
      </c>
      <c r="D23" s="4" t="s">
        <v>530</v>
      </c>
      <c r="E23" s="4" t="s">
        <v>531</v>
      </c>
      <c r="F23" s="4" t="s">
        <v>532</v>
      </c>
      <c r="G23" s="4" t="s">
        <v>533</v>
      </c>
      <c r="H23" s="4" t="s">
        <v>391</v>
      </c>
      <c r="I23" s="4" t="s">
        <v>534</v>
      </c>
      <c r="J23" s="4" t="s">
        <v>535</v>
      </c>
    </row>
    <row r="24" customFormat="false" ht="75.75" hidden="false" customHeight="true" outlineLevel="0" collapsed="false">
      <c r="A24" s="5" t="s">
        <v>536</v>
      </c>
      <c r="B24" s="5" t="s">
        <v>537</v>
      </c>
      <c r="C24" s="5" t="s">
        <v>538</v>
      </c>
      <c r="D24" s="5" t="s">
        <v>539</v>
      </c>
      <c r="E24" s="5" t="s">
        <v>540</v>
      </c>
      <c r="F24" s="5" t="s">
        <v>541</v>
      </c>
      <c r="G24" s="5" t="s">
        <v>542</v>
      </c>
      <c r="H24" s="5" t="s">
        <v>391</v>
      </c>
      <c r="I24" s="5" t="s">
        <v>543</v>
      </c>
      <c r="J24" s="5" t="s">
        <v>544</v>
      </c>
    </row>
    <row r="25" customFormat="false" ht="75.75" hidden="false" customHeight="true" outlineLevel="0" collapsed="false">
      <c r="A25" s="4" t="s">
        <v>545</v>
      </c>
      <c r="B25" s="4" t="s">
        <v>391</v>
      </c>
      <c r="C25" s="4" t="s">
        <v>395</v>
      </c>
      <c r="D25" s="4" t="s">
        <v>395</v>
      </c>
      <c r="E25" s="4" t="s">
        <v>546</v>
      </c>
      <c r="F25" s="4" t="s">
        <v>395</v>
      </c>
      <c r="G25" s="4" t="s">
        <v>391</v>
      </c>
      <c r="H25" s="4" t="s">
        <v>391</v>
      </c>
      <c r="I25" s="4" t="s">
        <v>391</v>
      </c>
      <c r="J25" s="4" t="s">
        <v>547</v>
      </c>
    </row>
    <row r="26" customFormat="false" ht="75.75" hidden="false" customHeight="true" outlineLevel="0" collapsed="false">
      <c r="A26" s="5" t="s">
        <v>160</v>
      </c>
      <c r="B26" s="5" t="s">
        <v>548</v>
      </c>
      <c r="C26" s="5" t="s">
        <v>549</v>
      </c>
      <c r="D26" s="5" t="s">
        <v>550</v>
      </c>
      <c r="E26" s="5" t="s">
        <v>551</v>
      </c>
      <c r="F26" s="5" t="s">
        <v>552</v>
      </c>
      <c r="G26" s="5" t="s">
        <v>553</v>
      </c>
      <c r="H26" s="5" t="s">
        <v>554</v>
      </c>
      <c r="I26" s="5" t="s">
        <v>555</v>
      </c>
      <c r="J26" s="5" t="s">
        <v>556</v>
      </c>
    </row>
    <row r="27" customFormat="false" ht="75.75" hidden="false" customHeight="true" outlineLevel="0" collapsed="false">
      <c r="A27" s="4" t="s">
        <v>161</v>
      </c>
      <c r="B27" s="4" t="s">
        <v>557</v>
      </c>
      <c r="C27" s="4" t="s">
        <v>558</v>
      </c>
      <c r="D27" s="4" t="s">
        <v>559</v>
      </c>
      <c r="E27" s="4" t="s">
        <v>560</v>
      </c>
      <c r="F27" s="4" t="s">
        <v>558</v>
      </c>
      <c r="G27" s="4" t="s">
        <v>561</v>
      </c>
      <c r="H27" s="4" t="s">
        <v>562</v>
      </c>
      <c r="I27" s="4" t="s">
        <v>563</v>
      </c>
      <c r="J27" s="4" t="s">
        <v>564</v>
      </c>
    </row>
    <row r="28" customFormat="false" ht="75.75" hidden="false" customHeight="true" outlineLevel="0" collapsed="false">
      <c r="A28" s="5" t="s">
        <v>162</v>
      </c>
      <c r="B28" s="5" t="s">
        <v>565</v>
      </c>
      <c r="C28" s="5" t="s">
        <v>566</v>
      </c>
      <c r="D28" s="5" t="s">
        <v>567</v>
      </c>
      <c r="E28" s="5" t="s">
        <v>384</v>
      </c>
      <c r="F28" s="5" t="s">
        <v>568</v>
      </c>
      <c r="G28" s="5" t="s">
        <v>569</v>
      </c>
      <c r="H28" s="5" t="s">
        <v>570</v>
      </c>
      <c r="I28" s="5" t="s">
        <v>571</v>
      </c>
      <c r="J28" s="5" t="s">
        <v>572</v>
      </c>
    </row>
    <row r="29" customFormat="false" ht="75.75" hidden="false" customHeight="true" outlineLevel="0" collapsed="false">
      <c r="A29" s="4" t="s">
        <v>165</v>
      </c>
      <c r="B29" s="4" t="s">
        <v>573</v>
      </c>
      <c r="C29" s="4" t="s">
        <v>574</v>
      </c>
      <c r="D29" s="4" t="s">
        <v>575</v>
      </c>
      <c r="E29" s="4" t="s">
        <v>576</v>
      </c>
      <c r="F29" s="4" t="s">
        <v>577</v>
      </c>
      <c r="G29" s="4" t="s">
        <v>578</v>
      </c>
      <c r="H29" s="4" t="s">
        <v>579</v>
      </c>
      <c r="I29" s="4" t="s">
        <v>391</v>
      </c>
      <c r="J29" s="4" t="s">
        <v>580</v>
      </c>
    </row>
    <row r="30" customFormat="false" ht="75.75" hidden="false" customHeight="true" outlineLevel="0" collapsed="false">
      <c r="A30" s="5" t="s">
        <v>581</v>
      </c>
      <c r="B30" s="5" t="s">
        <v>582</v>
      </c>
      <c r="C30" s="5" t="s">
        <v>583</v>
      </c>
      <c r="D30" s="5" t="s">
        <v>584</v>
      </c>
      <c r="E30" s="5" t="s">
        <v>585</v>
      </c>
      <c r="F30" s="5" t="s">
        <v>586</v>
      </c>
      <c r="G30" s="5" t="s">
        <v>391</v>
      </c>
      <c r="H30" s="5" t="s">
        <v>587</v>
      </c>
      <c r="I30" s="5" t="s">
        <v>391</v>
      </c>
      <c r="J30" s="5" t="s">
        <v>588</v>
      </c>
    </row>
    <row r="31" customFormat="false" ht="75.75" hidden="false" customHeight="true" outlineLevel="0" collapsed="false">
      <c r="A31" s="4" t="s">
        <v>589</v>
      </c>
      <c r="B31" s="4" t="s">
        <v>590</v>
      </c>
      <c r="C31" s="4" t="s">
        <v>591</v>
      </c>
      <c r="D31" s="4" t="s">
        <v>592</v>
      </c>
      <c r="E31" s="4" t="s">
        <v>593</v>
      </c>
      <c r="F31" s="4" t="s">
        <v>594</v>
      </c>
      <c r="G31" s="4" t="s">
        <v>509</v>
      </c>
      <c r="H31" s="4" t="s">
        <v>595</v>
      </c>
      <c r="I31" s="4" t="s">
        <v>596</v>
      </c>
      <c r="J31" s="4" t="s">
        <v>597</v>
      </c>
    </row>
    <row r="32" customFormat="false" ht="75.75" hidden="false" customHeight="true" outlineLevel="0" collapsed="false">
      <c r="A32" s="5" t="s">
        <v>598</v>
      </c>
      <c r="B32" s="5" t="s">
        <v>599</v>
      </c>
      <c r="C32" s="5" t="s">
        <v>600</v>
      </c>
      <c r="D32" s="5" t="s">
        <v>601</v>
      </c>
      <c r="E32" s="5" t="s">
        <v>602</v>
      </c>
      <c r="F32" s="5" t="s">
        <v>603</v>
      </c>
      <c r="G32" s="5" t="s">
        <v>604</v>
      </c>
      <c r="H32" s="5" t="s">
        <v>391</v>
      </c>
      <c r="I32" s="5" t="s">
        <v>391</v>
      </c>
      <c r="J32" s="5" t="s">
        <v>605</v>
      </c>
    </row>
  </sheetData>
  <autoFilter ref="A4:J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46"/>
    <col collapsed="false" customWidth="true" hidden="false" outlineLevel="0" max="5" min="4" style="0" width="20"/>
    <col collapsed="false" customWidth="true" hidden="false" outlineLevel="0" max="6" min="6" style="0" width="40"/>
    <col collapsed="false" customWidth="true" hidden="false" outlineLevel="0" max="7" min="7" style="0" width="52"/>
    <col collapsed="false" customWidth="true" hidden="false" outlineLevel="0" max="8" min="8" style="0" width="32"/>
  </cols>
  <sheetData>
    <row r="1" customFormat="false" ht="17.35" hidden="false" customHeight="false" outlineLevel="0" collapsed="false">
      <c r="A1" s="1" t="s">
        <v>606</v>
      </c>
    </row>
    <row r="2" customFormat="false" ht="15" hidden="false" customHeight="false" outlineLevel="0" collapsed="false">
      <c r="A2" s="2" t="s">
        <v>607</v>
      </c>
    </row>
    <row r="4" customFormat="false" ht="30" hidden="false" customHeight="true" outlineLevel="0" collapsed="false">
      <c r="A4" s="3" t="s">
        <v>608</v>
      </c>
      <c r="B4" s="3" t="s">
        <v>609</v>
      </c>
      <c r="C4" s="3" t="s">
        <v>610</v>
      </c>
      <c r="D4" s="3" t="s">
        <v>611</v>
      </c>
      <c r="E4" s="3" t="s">
        <v>612</v>
      </c>
      <c r="F4" s="3" t="s">
        <v>613</v>
      </c>
      <c r="G4" s="3" t="s">
        <v>614</v>
      </c>
      <c r="H4" s="3" t="s">
        <v>615</v>
      </c>
    </row>
    <row r="5" customFormat="false" ht="43.5" hidden="false" customHeight="true" outlineLevel="0" collapsed="false">
      <c r="A5" s="4" t="s">
        <v>616</v>
      </c>
      <c r="B5" s="4" t="s">
        <v>617</v>
      </c>
      <c r="C5" s="4" t="s">
        <v>618</v>
      </c>
      <c r="D5" s="4" t="s">
        <v>619</v>
      </c>
      <c r="E5" s="4" t="s">
        <v>619</v>
      </c>
      <c r="F5" s="4" t="s">
        <v>620</v>
      </c>
      <c r="G5" s="4" t="s">
        <v>621</v>
      </c>
      <c r="H5" s="4" t="s">
        <v>622</v>
      </c>
    </row>
    <row r="6" customFormat="false" ht="43.5" hidden="false" customHeight="true" outlineLevel="0" collapsed="false">
      <c r="A6" s="5" t="s">
        <v>623</v>
      </c>
      <c r="B6" s="5" t="s">
        <v>624</v>
      </c>
      <c r="C6" s="5" t="s">
        <v>625</v>
      </c>
      <c r="D6" s="5" t="s">
        <v>626</v>
      </c>
      <c r="E6" s="5" t="s">
        <v>627</v>
      </c>
      <c r="F6" s="5" t="s">
        <v>628</v>
      </c>
      <c r="G6" s="5" t="s">
        <v>629</v>
      </c>
      <c r="H6" s="5" t="s">
        <v>622</v>
      </c>
    </row>
    <row r="7" customFormat="false" ht="43.5" hidden="false" customHeight="true" outlineLevel="0" collapsed="false">
      <c r="A7" s="4" t="s">
        <v>630</v>
      </c>
      <c r="B7" s="4" t="s">
        <v>617</v>
      </c>
      <c r="C7" s="4" t="s">
        <v>631</v>
      </c>
      <c r="D7" s="4" t="s">
        <v>632</v>
      </c>
      <c r="E7" s="4" t="s">
        <v>633</v>
      </c>
      <c r="F7" s="4" t="s">
        <v>634</v>
      </c>
      <c r="G7" s="4" t="s">
        <v>635</v>
      </c>
      <c r="H7" s="4" t="s">
        <v>622</v>
      </c>
    </row>
    <row r="8" customFormat="false" ht="43.5" hidden="false" customHeight="true" outlineLevel="0" collapsed="false">
      <c r="A8" s="5" t="s">
        <v>636</v>
      </c>
      <c r="B8" s="5" t="s">
        <v>637</v>
      </c>
      <c r="C8" s="5" t="s">
        <v>638</v>
      </c>
      <c r="D8" s="5" t="s">
        <v>639</v>
      </c>
      <c r="E8" s="5" t="s">
        <v>640</v>
      </c>
      <c r="F8" s="5" t="s">
        <v>641</v>
      </c>
      <c r="G8" s="5" t="s">
        <v>642</v>
      </c>
      <c r="H8" s="5" t="s">
        <v>622</v>
      </c>
    </row>
    <row r="9" customFormat="false" ht="43.5" hidden="false" customHeight="true" outlineLevel="0" collapsed="false">
      <c r="A9" s="4" t="s">
        <v>643</v>
      </c>
      <c r="B9" s="4" t="s">
        <v>637</v>
      </c>
      <c r="C9" s="4" t="s">
        <v>644</v>
      </c>
      <c r="D9" s="4" t="s">
        <v>645</v>
      </c>
      <c r="E9" s="4" t="s">
        <v>646</v>
      </c>
      <c r="F9" s="4" t="s">
        <v>647</v>
      </c>
      <c r="G9" s="4" t="s">
        <v>648</v>
      </c>
      <c r="H9" s="4" t="s">
        <v>649</v>
      </c>
    </row>
    <row r="10" customFormat="false" ht="43.5" hidden="false" customHeight="true" outlineLevel="0" collapsed="false">
      <c r="A10" s="5" t="s">
        <v>650</v>
      </c>
      <c r="B10" s="5" t="s">
        <v>195</v>
      </c>
      <c r="C10" s="5" t="s">
        <v>651</v>
      </c>
      <c r="D10" s="5" t="s">
        <v>652</v>
      </c>
      <c r="E10" s="5" t="s">
        <v>653</v>
      </c>
      <c r="F10" s="5" t="s">
        <v>654</v>
      </c>
      <c r="G10" s="5" t="s">
        <v>655</v>
      </c>
      <c r="H10" s="5" t="s">
        <v>622</v>
      </c>
    </row>
    <row r="11" customFormat="false" ht="43.5" hidden="false" customHeight="true" outlineLevel="0" collapsed="false">
      <c r="A11" s="4" t="s">
        <v>656</v>
      </c>
      <c r="B11" s="4" t="s">
        <v>195</v>
      </c>
      <c r="C11" s="4" t="s">
        <v>657</v>
      </c>
      <c r="D11" s="4" t="s">
        <v>658</v>
      </c>
      <c r="E11" s="4" t="s">
        <v>653</v>
      </c>
      <c r="F11" s="4" t="s">
        <v>659</v>
      </c>
      <c r="G11" s="4" t="s">
        <v>660</v>
      </c>
      <c r="H11" s="4" t="s">
        <v>622</v>
      </c>
    </row>
    <row r="12" customFormat="false" ht="43.5" hidden="false" customHeight="true" outlineLevel="0" collapsed="false">
      <c r="A12" s="5" t="s">
        <v>661</v>
      </c>
      <c r="B12" s="5" t="s">
        <v>195</v>
      </c>
      <c r="C12" s="5" t="s">
        <v>662</v>
      </c>
      <c r="D12" s="5" t="s">
        <v>663</v>
      </c>
      <c r="E12" s="5" t="s">
        <v>664</v>
      </c>
      <c r="F12" s="5" t="s">
        <v>665</v>
      </c>
      <c r="G12" s="5" t="s">
        <v>666</v>
      </c>
      <c r="H12" s="5" t="s">
        <v>622</v>
      </c>
    </row>
    <row r="13" customFormat="false" ht="43.5" hidden="false" customHeight="true" outlineLevel="0" collapsed="false">
      <c r="A13" s="4" t="s">
        <v>667</v>
      </c>
      <c r="B13" s="4" t="s">
        <v>192</v>
      </c>
      <c r="C13" s="4" t="s">
        <v>668</v>
      </c>
      <c r="D13" s="4" t="s">
        <v>669</v>
      </c>
      <c r="E13" s="4" t="s">
        <v>670</v>
      </c>
      <c r="F13" s="4" t="s">
        <v>671</v>
      </c>
      <c r="G13" s="4" t="s">
        <v>672</v>
      </c>
      <c r="H13" s="4" t="s">
        <v>622</v>
      </c>
    </row>
    <row r="14" customFormat="false" ht="43.5" hidden="false" customHeight="true" outlineLevel="0" collapsed="false">
      <c r="A14" s="5" t="s">
        <v>673</v>
      </c>
      <c r="B14" s="5" t="s">
        <v>192</v>
      </c>
      <c r="C14" s="5" t="s">
        <v>674</v>
      </c>
      <c r="D14" s="5" t="s">
        <v>675</v>
      </c>
      <c r="E14" s="5" t="s">
        <v>640</v>
      </c>
      <c r="F14" s="5" t="s">
        <v>676</v>
      </c>
      <c r="G14" s="5" t="s">
        <v>677</v>
      </c>
      <c r="H14" s="5" t="s">
        <v>622</v>
      </c>
    </row>
    <row r="15" customFormat="false" ht="43.5" hidden="false" customHeight="true" outlineLevel="0" collapsed="false">
      <c r="A15" s="4" t="s">
        <v>678</v>
      </c>
      <c r="B15" s="4" t="s">
        <v>192</v>
      </c>
      <c r="C15" s="4" t="s">
        <v>679</v>
      </c>
      <c r="D15" s="4" t="s">
        <v>680</v>
      </c>
      <c r="E15" s="4" t="s">
        <v>681</v>
      </c>
      <c r="F15" s="4" t="s">
        <v>682</v>
      </c>
      <c r="G15" s="4" t="s">
        <v>683</v>
      </c>
      <c r="H15" s="4" t="s">
        <v>622</v>
      </c>
    </row>
    <row r="16" customFormat="false" ht="43.5" hidden="false" customHeight="true" outlineLevel="0" collapsed="false">
      <c r="A16" s="5" t="s">
        <v>684</v>
      </c>
      <c r="B16" s="5" t="s">
        <v>219</v>
      </c>
      <c r="C16" s="5" t="s">
        <v>685</v>
      </c>
      <c r="D16" s="5" t="s">
        <v>686</v>
      </c>
      <c r="E16" s="5" t="s">
        <v>687</v>
      </c>
      <c r="F16" s="5" t="s">
        <v>688</v>
      </c>
      <c r="G16" s="5" t="s">
        <v>689</v>
      </c>
      <c r="H16" s="5" t="s">
        <v>622</v>
      </c>
    </row>
    <row r="17" customFormat="false" ht="43.5" hidden="false" customHeight="true" outlineLevel="0" collapsed="false">
      <c r="A17" s="4" t="s">
        <v>690</v>
      </c>
      <c r="B17" s="4" t="s">
        <v>691</v>
      </c>
      <c r="C17" s="4" t="s">
        <v>692</v>
      </c>
      <c r="D17" s="4" t="s">
        <v>693</v>
      </c>
      <c r="E17" s="4" t="s">
        <v>633</v>
      </c>
      <c r="F17" s="4" t="s">
        <v>694</v>
      </c>
      <c r="G17" s="4" t="s">
        <v>695</v>
      </c>
      <c r="H17" s="4" t="s">
        <v>622</v>
      </c>
    </row>
    <row r="18" customFormat="false" ht="43.5" hidden="false" customHeight="true" outlineLevel="0" collapsed="false">
      <c r="A18" s="5" t="s">
        <v>696</v>
      </c>
      <c r="B18" s="5" t="s">
        <v>219</v>
      </c>
      <c r="C18" s="5" t="s">
        <v>697</v>
      </c>
      <c r="D18" s="5" t="s">
        <v>698</v>
      </c>
      <c r="E18" s="5" t="s">
        <v>640</v>
      </c>
      <c r="F18" s="5" t="s">
        <v>699</v>
      </c>
      <c r="G18" s="5" t="s">
        <v>700</v>
      </c>
      <c r="H18" s="5" t="s">
        <v>622</v>
      </c>
    </row>
    <row r="19" customFormat="false" ht="43.5" hidden="false" customHeight="true" outlineLevel="0" collapsed="false">
      <c r="A19" s="4" t="s">
        <v>701</v>
      </c>
      <c r="B19" s="4" t="s">
        <v>367</v>
      </c>
      <c r="C19" s="4" t="s">
        <v>702</v>
      </c>
      <c r="D19" s="4" t="s">
        <v>703</v>
      </c>
      <c r="E19" s="4" t="s">
        <v>704</v>
      </c>
      <c r="F19" s="4" t="s">
        <v>705</v>
      </c>
      <c r="G19" s="4" t="s">
        <v>706</v>
      </c>
      <c r="H19" s="4" t="s">
        <v>622</v>
      </c>
    </row>
    <row r="20" customFormat="false" ht="43.5" hidden="false" customHeight="true" outlineLevel="0" collapsed="false">
      <c r="A20" s="5" t="s">
        <v>707</v>
      </c>
      <c r="B20" s="5" t="s">
        <v>367</v>
      </c>
      <c r="C20" s="5" t="s">
        <v>708</v>
      </c>
      <c r="D20" s="5" t="s">
        <v>709</v>
      </c>
      <c r="E20" s="5" t="s">
        <v>704</v>
      </c>
      <c r="F20" s="5" t="s">
        <v>710</v>
      </c>
      <c r="G20" s="5" t="s">
        <v>711</v>
      </c>
      <c r="H20" s="5" t="s">
        <v>622</v>
      </c>
    </row>
    <row r="21" customFormat="false" ht="43.5" hidden="false" customHeight="true" outlineLevel="0" collapsed="false">
      <c r="A21" s="4" t="s">
        <v>712</v>
      </c>
      <c r="B21" s="4" t="s">
        <v>367</v>
      </c>
      <c r="C21" s="4" t="s">
        <v>713</v>
      </c>
      <c r="D21" s="4" t="s">
        <v>714</v>
      </c>
      <c r="E21" s="4" t="s">
        <v>633</v>
      </c>
      <c r="F21" s="4" t="s">
        <v>715</v>
      </c>
      <c r="G21" s="4" t="s">
        <v>716</v>
      </c>
      <c r="H21" s="4" t="s">
        <v>622</v>
      </c>
    </row>
    <row r="22" customFormat="false" ht="43.5" hidden="false" customHeight="true" outlineLevel="0" collapsed="false">
      <c r="A22" s="5" t="s">
        <v>717</v>
      </c>
      <c r="B22" s="5" t="s">
        <v>248</v>
      </c>
      <c r="C22" s="5" t="s">
        <v>718</v>
      </c>
      <c r="D22" s="5" t="s">
        <v>719</v>
      </c>
      <c r="E22" s="5" t="s">
        <v>720</v>
      </c>
      <c r="F22" s="5" t="s">
        <v>721</v>
      </c>
      <c r="G22" s="5" t="s">
        <v>722</v>
      </c>
      <c r="H22" s="5" t="s">
        <v>622</v>
      </c>
    </row>
    <row r="23" customFormat="false" ht="43.5" hidden="false" customHeight="true" outlineLevel="0" collapsed="false">
      <c r="A23" s="4" t="s">
        <v>723</v>
      </c>
      <c r="B23" s="4" t="s">
        <v>248</v>
      </c>
      <c r="C23" s="4" t="s">
        <v>724</v>
      </c>
      <c r="D23" s="4" t="s">
        <v>725</v>
      </c>
      <c r="E23" s="4" t="s">
        <v>704</v>
      </c>
      <c r="F23" s="4" t="s">
        <v>726</v>
      </c>
      <c r="G23" s="4" t="s">
        <v>727</v>
      </c>
      <c r="H23" s="4" t="s">
        <v>622</v>
      </c>
    </row>
    <row r="24" customFormat="false" ht="43.5" hidden="false" customHeight="true" outlineLevel="0" collapsed="false">
      <c r="A24" s="5" t="s">
        <v>728</v>
      </c>
      <c r="B24" s="5" t="s">
        <v>248</v>
      </c>
      <c r="C24" s="5" t="s">
        <v>729</v>
      </c>
      <c r="D24" s="5" t="s">
        <v>730</v>
      </c>
      <c r="E24" s="5" t="s">
        <v>704</v>
      </c>
      <c r="F24" s="5" t="s">
        <v>731</v>
      </c>
      <c r="G24" s="5" t="s">
        <v>732</v>
      </c>
      <c r="H24" s="5" t="s">
        <v>622</v>
      </c>
    </row>
    <row r="25" customFormat="false" ht="43.5" hidden="false" customHeight="true" outlineLevel="0" collapsed="false">
      <c r="A25" s="4" t="s">
        <v>733</v>
      </c>
      <c r="B25" s="4" t="s">
        <v>248</v>
      </c>
      <c r="C25" s="4" t="s">
        <v>734</v>
      </c>
      <c r="D25" s="4" t="s">
        <v>735</v>
      </c>
      <c r="E25" s="4" t="s">
        <v>704</v>
      </c>
      <c r="F25" s="4" t="s">
        <v>736</v>
      </c>
      <c r="G25" s="4" t="s">
        <v>732</v>
      </c>
      <c r="H25" s="4" t="s">
        <v>622</v>
      </c>
    </row>
    <row r="26" customFormat="false" ht="43.5" hidden="false" customHeight="true" outlineLevel="0" collapsed="false">
      <c r="A26" s="5" t="s">
        <v>737</v>
      </c>
      <c r="B26" s="5" t="s">
        <v>248</v>
      </c>
      <c r="C26" s="5" t="s">
        <v>738</v>
      </c>
      <c r="D26" s="5" t="s">
        <v>739</v>
      </c>
      <c r="E26" s="5" t="s">
        <v>704</v>
      </c>
      <c r="F26" s="5" t="s">
        <v>740</v>
      </c>
      <c r="G26" s="5" t="s">
        <v>732</v>
      </c>
      <c r="H26" s="5" t="s">
        <v>622</v>
      </c>
    </row>
    <row r="27" customFormat="false" ht="43.5" hidden="false" customHeight="true" outlineLevel="0" collapsed="false">
      <c r="A27" s="4" t="s">
        <v>741</v>
      </c>
      <c r="B27" s="4" t="s">
        <v>248</v>
      </c>
      <c r="C27" s="4" t="s">
        <v>742</v>
      </c>
      <c r="D27" s="4" t="s">
        <v>743</v>
      </c>
      <c r="E27" s="4" t="s">
        <v>704</v>
      </c>
      <c r="F27" s="4" t="s">
        <v>744</v>
      </c>
      <c r="G27" s="4" t="s">
        <v>745</v>
      </c>
      <c r="H27" s="4" t="s">
        <v>622</v>
      </c>
    </row>
    <row r="28" customFormat="false" ht="43.5" hidden="false" customHeight="true" outlineLevel="0" collapsed="false">
      <c r="A28" s="5" t="s">
        <v>746</v>
      </c>
      <c r="B28" s="5" t="s">
        <v>368</v>
      </c>
      <c r="C28" s="5" t="s">
        <v>747</v>
      </c>
      <c r="D28" s="5" t="s">
        <v>748</v>
      </c>
      <c r="E28" s="5" t="s">
        <v>704</v>
      </c>
      <c r="F28" s="5" t="s">
        <v>749</v>
      </c>
      <c r="G28" s="5" t="s">
        <v>750</v>
      </c>
      <c r="H28" s="5" t="s">
        <v>649</v>
      </c>
    </row>
    <row r="29" customFormat="false" ht="43.5" hidden="false" customHeight="true" outlineLevel="0" collapsed="false">
      <c r="A29" s="4" t="s">
        <v>751</v>
      </c>
      <c r="B29" s="4" t="s">
        <v>368</v>
      </c>
      <c r="C29" s="4" t="s">
        <v>752</v>
      </c>
      <c r="D29" s="4" t="s">
        <v>753</v>
      </c>
      <c r="E29" s="4" t="s">
        <v>704</v>
      </c>
      <c r="F29" s="4" t="s">
        <v>754</v>
      </c>
      <c r="G29" s="4" t="s">
        <v>755</v>
      </c>
      <c r="H29" s="4" t="s">
        <v>622</v>
      </c>
    </row>
    <row r="30" customFormat="false" ht="43.5" hidden="false" customHeight="true" outlineLevel="0" collapsed="false">
      <c r="A30" s="5" t="s">
        <v>756</v>
      </c>
      <c r="B30" s="5" t="s">
        <v>368</v>
      </c>
      <c r="C30" s="5" t="s">
        <v>757</v>
      </c>
      <c r="D30" s="5" t="s">
        <v>758</v>
      </c>
      <c r="E30" s="5" t="s">
        <v>704</v>
      </c>
      <c r="F30" s="5" t="s">
        <v>759</v>
      </c>
      <c r="G30" s="5" t="s">
        <v>755</v>
      </c>
      <c r="H30" s="5" t="s">
        <v>622</v>
      </c>
    </row>
    <row r="31" customFormat="false" ht="43.5" hidden="false" customHeight="true" outlineLevel="0" collapsed="false">
      <c r="A31" s="4" t="s">
        <v>760</v>
      </c>
      <c r="B31" s="4" t="s">
        <v>248</v>
      </c>
      <c r="C31" s="4" t="s">
        <v>761</v>
      </c>
      <c r="D31" s="4" t="s">
        <v>762</v>
      </c>
      <c r="E31" s="4" t="s">
        <v>704</v>
      </c>
      <c r="F31" s="4" t="s">
        <v>763</v>
      </c>
      <c r="G31" s="4" t="s">
        <v>764</v>
      </c>
      <c r="H31" s="4" t="s">
        <v>622</v>
      </c>
    </row>
    <row r="32" customFormat="false" ht="43.5" hidden="false" customHeight="true" outlineLevel="0" collapsed="false">
      <c r="A32" s="5" t="s">
        <v>765</v>
      </c>
      <c r="B32" s="5" t="s">
        <v>248</v>
      </c>
      <c r="C32" s="5" t="s">
        <v>766</v>
      </c>
      <c r="D32" s="5" t="s">
        <v>767</v>
      </c>
      <c r="E32" s="5" t="s">
        <v>704</v>
      </c>
      <c r="F32" s="5" t="s">
        <v>768</v>
      </c>
      <c r="G32" s="5" t="s">
        <v>732</v>
      </c>
      <c r="H32" s="5" t="s">
        <v>622</v>
      </c>
    </row>
    <row r="33" customFormat="false" ht="43.5" hidden="false" customHeight="true" outlineLevel="0" collapsed="false">
      <c r="A33" s="4" t="s">
        <v>769</v>
      </c>
      <c r="B33" s="4" t="s">
        <v>770</v>
      </c>
      <c r="C33" s="4" t="s">
        <v>771</v>
      </c>
      <c r="D33" s="4" t="s">
        <v>772</v>
      </c>
      <c r="E33" s="4" t="s">
        <v>773</v>
      </c>
      <c r="F33" s="4" t="s">
        <v>774</v>
      </c>
      <c r="G33" s="4" t="s">
        <v>775</v>
      </c>
      <c r="H33" s="4" t="s">
        <v>622</v>
      </c>
    </row>
    <row r="34" customFormat="false" ht="43.5" hidden="false" customHeight="true" outlineLevel="0" collapsed="false">
      <c r="A34" s="5" t="s">
        <v>776</v>
      </c>
      <c r="B34" s="5" t="s">
        <v>770</v>
      </c>
      <c r="C34" s="5" t="s">
        <v>777</v>
      </c>
      <c r="D34" s="5" t="s">
        <v>772</v>
      </c>
      <c r="E34" s="5" t="s">
        <v>773</v>
      </c>
      <c r="F34" s="5" t="s">
        <v>774</v>
      </c>
      <c r="G34" s="5" t="s">
        <v>775</v>
      </c>
      <c r="H34" s="5" t="s">
        <v>622</v>
      </c>
    </row>
    <row r="35" customFormat="false" ht="43.5" hidden="false" customHeight="true" outlineLevel="0" collapsed="false">
      <c r="A35" s="4" t="s">
        <v>778</v>
      </c>
      <c r="B35" s="4" t="s">
        <v>770</v>
      </c>
      <c r="C35" s="4" t="s">
        <v>779</v>
      </c>
      <c r="D35" s="4" t="s">
        <v>772</v>
      </c>
      <c r="E35" s="4" t="s">
        <v>780</v>
      </c>
      <c r="F35" s="4" t="s">
        <v>774</v>
      </c>
      <c r="G35" s="4" t="s">
        <v>781</v>
      </c>
      <c r="H35" s="4" t="s">
        <v>622</v>
      </c>
    </row>
    <row r="36" customFormat="false" ht="43.5" hidden="false" customHeight="true" outlineLevel="0" collapsed="false">
      <c r="A36" s="5" t="s">
        <v>782</v>
      </c>
      <c r="B36" s="5" t="s">
        <v>770</v>
      </c>
      <c r="C36" s="5" t="s">
        <v>783</v>
      </c>
      <c r="D36" s="5" t="s">
        <v>772</v>
      </c>
      <c r="E36" s="5" t="s">
        <v>784</v>
      </c>
      <c r="F36" s="5" t="s">
        <v>774</v>
      </c>
      <c r="G36" s="5" t="s">
        <v>785</v>
      </c>
      <c r="H36" s="5" t="s">
        <v>622</v>
      </c>
    </row>
    <row r="37" customFormat="false" ht="43.5" hidden="false" customHeight="true" outlineLevel="0" collapsed="false">
      <c r="A37" s="4" t="s">
        <v>786</v>
      </c>
      <c r="B37" s="4" t="s">
        <v>770</v>
      </c>
      <c r="C37" s="4" t="s">
        <v>787</v>
      </c>
      <c r="D37" s="4" t="s">
        <v>772</v>
      </c>
      <c r="E37" s="4" t="s">
        <v>788</v>
      </c>
      <c r="F37" s="4" t="s">
        <v>774</v>
      </c>
      <c r="G37" s="4" t="s">
        <v>789</v>
      </c>
      <c r="H37" s="4" t="s">
        <v>622</v>
      </c>
    </row>
    <row r="38" customFormat="false" ht="43.5" hidden="false" customHeight="true" outlineLevel="0" collapsed="false">
      <c r="A38" s="5" t="s">
        <v>790</v>
      </c>
      <c r="B38" s="5" t="s">
        <v>770</v>
      </c>
      <c r="C38" s="5" t="s">
        <v>791</v>
      </c>
      <c r="D38" s="5" t="s">
        <v>772</v>
      </c>
      <c r="E38" s="5" t="s">
        <v>792</v>
      </c>
      <c r="F38" s="5" t="s">
        <v>774</v>
      </c>
      <c r="G38" s="5" t="s">
        <v>793</v>
      </c>
      <c r="H38" s="5" t="s">
        <v>622</v>
      </c>
    </row>
    <row r="39" customFormat="false" ht="43.5" hidden="false" customHeight="true" outlineLevel="0" collapsed="false">
      <c r="A39" s="4" t="s">
        <v>794</v>
      </c>
      <c r="B39" s="4" t="s">
        <v>770</v>
      </c>
      <c r="C39" s="4" t="s">
        <v>795</v>
      </c>
      <c r="D39" s="4" t="s">
        <v>772</v>
      </c>
      <c r="E39" s="4" t="s">
        <v>704</v>
      </c>
      <c r="F39" s="4" t="s">
        <v>796</v>
      </c>
      <c r="G39" s="4" t="s">
        <v>797</v>
      </c>
      <c r="H39" s="4" t="s">
        <v>622</v>
      </c>
    </row>
    <row r="40" customFormat="false" ht="43.5" hidden="false" customHeight="true" outlineLevel="0" collapsed="false">
      <c r="A40" s="5" t="s">
        <v>798</v>
      </c>
      <c r="B40" s="5" t="s">
        <v>770</v>
      </c>
      <c r="C40" s="5" t="s">
        <v>799</v>
      </c>
      <c r="D40" s="5" t="s">
        <v>800</v>
      </c>
      <c r="E40" s="5" t="s">
        <v>704</v>
      </c>
      <c r="F40" s="5" t="s">
        <v>801</v>
      </c>
      <c r="G40" s="5" t="s">
        <v>802</v>
      </c>
      <c r="H40" s="5" t="s">
        <v>622</v>
      </c>
    </row>
    <row r="41" customFormat="false" ht="43.5" hidden="false" customHeight="true" outlineLevel="0" collapsed="false">
      <c r="A41" s="4" t="s">
        <v>803</v>
      </c>
      <c r="B41" s="4" t="s">
        <v>804</v>
      </c>
      <c r="C41" s="4" t="s">
        <v>805</v>
      </c>
      <c r="D41" s="4" t="s">
        <v>714</v>
      </c>
      <c r="E41" s="4" t="s">
        <v>633</v>
      </c>
      <c r="F41" s="4" t="s">
        <v>806</v>
      </c>
      <c r="G41" s="4" t="s">
        <v>807</v>
      </c>
      <c r="H41" s="4" t="s">
        <v>649</v>
      </c>
    </row>
    <row r="42" customFormat="false" ht="43.5" hidden="false" customHeight="true" outlineLevel="0" collapsed="false">
      <c r="A42" s="5" t="s">
        <v>808</v>
      </c>
      <c r="B42" s="5" t="s">
        <v>770</v>
      </c>
      <c r="C42" s="5" t="s">
        <v>809</v>
      </c>
      <c r="D42" s="5" t="s">
        <v>772</v>
      </c>
      <c r="E42" s="5" t="s">
        <v>704</v>
      </c>
      <c r="F42" s="5" t="s">
        <v>796</v>
      </c>
      <c r="G42" s="5" t="s">
        <v>810</v>
      </c>
      <c r="H42" s="5" t="s">
        <v>649</v>
      </c>
    </row>
    <row r="43" customFormat="false" ht="43.5" hidden="false" customHeight="true" outlineLevel="0" collapsed="false">
      <c r="A43" s="4" t="s">
        <v>811</v>
      </c>
      <c r="B43" s="4" t="s">
        <v>770</v>
      </c>
      <c r="C43" s="4" t="s">
        <v>812</v>
      </c>
      <c r="D43" s="4" t="s">
        <v>772</v>
      </c>
      <c r="E43" s="4" t="s">
        <v>813</v>
      </c>
      <c r="F43" s="4" t="s">
        <v>774</v>
      </c>
      <c r="G43" s="4" t="s">
        <v>814</v>
      </c>
      <c r="H43" s="4" t="s">
        <v>649</v>
      </c>
    </row>
    <row r="44" customFormat="false" ht="43.5" hidden="false" customHeight="true" outlineLevel="0" collapsed="false">
      <c r="A44" s="5" t="s">
        <v>815</v>
      </c>
      <c r="B44" s="5" t="s">
        <v>770</v>
      </c>
      <c r="C44" s="5" t="s">
        <v>816</v>
      </c>
      <c r="D44" s="5" t="s">
        <v>817</v>
      </c>
      <c r="E44" s="5" t="s">
        <v>818</v>
      </c>
      <c r="F44" s="5" t="s">
        <v>819</v>
      </c>
      <c r="G44" s="5" t="s">
        <v>820</v>
      </c>
      <c r="H44" s="5" t="s">
        <v>622</v>
      </c>
    </row>
    <row r="45" customFormat="false" ht="43.5" hidden="false" customHeight="true" outlineLevel="0" collapsed="false">
      <c r="A45" s="4" t="s">
        <v>821</v>
      </c>
      <c r="B45" s="4" t="s">
        <v>770</v>
      </c>
      <c r="C45" s="4" t="s">
        <v>822</v>
      </c>
      <c r="D45" s="4" t="s">
        <v>823</v>
      </c>
      <c r="E45" s="4" t="s">
        <v>773</v>
      </c>
      <c r="F45" s="4" t="s">
        <v>774</v>
      </c>
      <c r="G45" s="4" t="s">
        <v>793</v>
      </c>
      <c r="H45" s="4" t="s">
        <v>622</v>
      </c>
    </row>
    <row r="46" customFormat="false" ht="43.5" hidden="false" customHeight="true" outlineLevel="0" collapsed="false">
      <c r="A46" s="5" t="s">
        <v>824</v>
      </c>
      <c r="B46" s="5" t="s">
        <v>770</v>
      </c>
      <c r="C46" s="5" t="s">
        <v>825</v>
      </c>
      <c r="D46" s="5" t="s">
        <v>826</v>
      </c>
      <c r="E46" s="5" t="s">
        <v>827</v>
      </c>
      <c r="F46" s="5" t="s">
        <v>828</v>
      </c>
      <c r="G46" s="5" t="s">
        <v>829</v>
      </c>
      <c r="H46" s="5" t="s">
        <v>622</v>
      </c>
    </row>
    <row r="47" customFormat="false" ht="43.5" hidden="false" customHeight="true" outlineLevel="0" collapsed="false">
      <c r="A47" s="4" t="s">
        <v>830</v>
      </c>
      <c r="B47" s="4" t="s">
        <v>770</v>
      </c>
      <c r="C47" s="4" t="s">
        <v>831</v>
      </c>
      <c r="D47" s="4" t="s">
        <v>817</v>
      </c>
      <c r="E47" s="4" t="s">
        <v>818</v>
      </c>
      <c r="F47" s="4" t="s">
        <v>819</v>
      </c>
      <c r="G47" s="4" t="s">
        <v>832</v>
      </c>
      <c r="H47" s="4" t="s">
        <v>622</v>
      </c>
    </row>
    <row r="48" customFormat="false" ht="43.5" hidden="false" customHeight="true" outlineLevel="0" collapsed="false">
      <c r="A48" s="5" t="s">
        <v>833</v>
      </c>
      <c r="B48" s="5" t="s">
        <v>770</v>
      </c>
      <c r="C48" s="5" t="s">
        <v>834</v>
      </c>
      <c r="D48" s="5" t="s">
        <v>835</v>
      </c>
      <c r="E48" s="5" t="s">
        <v>704</v>
      </c>
      <c r="F48" s="5" t="s">
        <v>796</v>
      </c>
      <c r="G48" s="5" t="s">
        <v>836</v>
      </c>
      <c r="H48" s="5" t="s">
        <v>622</v>
      </c>
    </row>
    <row r="49" customFormat="false" ht="43.5" hidden="false" customHeight="true" outlineLevel="0" collapsed="false">
      <c r="A49" s="4" t="s">
        <v>837</v>
      </c>
      <c r="B49" s="4" t="s">
        <v>770</v>
      </c>
      <c r="C49" s="4" t="s">
        <v>838</v>
      </c>
      <c r="D49" s="4" t="s">
        <v>839</v>
      </c>
      <c r="E49" s="4" t="s">
        <v>840</v>
      </c>
      <c r="F49" s="4" t="s">
        <v>774</v>
      </c>
      <c r="G49" s="4" t="s">
        <v>841</v>
      </c>
      <c r="H49" s="4" t="s">
        <v>622</v>
      </c>
    </row>
    <row r="50" customFormat="false" ht="43.5" hidden="false" customHeight="true" outlineLevel="0" collapsed="false">
      <c r="A50" s="5" t="s">
        <v>842</v>
      </c>
      <c r="B50" s="5" t="s">
        <v>770</v>
      </c>
      <c r="C50" s="5" t="s">
        <v>843</v>
      </c>
      <c r="D50" s="5" t="s">
        <v>844</v>
      </c>
      <c r="E50" s="5" t="s">
        <v>845</v>
      </c>
      <c r="F50" s="5" t="s">
        <v>774</v>
      </c>
      <c r="G50" s="5" t="s">
        <v>846</v>
      </c>
      <c r="H50" s="5" t="s">
        <v>622</v>
      </c>
    </row>
    <row r="51" customFormat="false" ht="43.5" hidden="false" customHeight="true" outlineLevel="0" collapsed="false">
      <c r="A51" s="4" t="s">
        <v>847</v>
      </c>
      <c r="B51" s="4" t="s">
        <v>770</v>
      </c>
      <c r="C51" s="4" t="s">
        <v>848</v>
      </c>
      <c r="D51" s="4" t="s">
        <v>823</v>
      </c>
      <c r="E51" s="4" t="s">
        <v>773</v>
      </c>
      <c r="F51" s="4" t="s">
        <v>774</v>
      </c>
      <c r="G51" s="4" t="s">
        <v>793</v>
      </c>
      <c r="H51" s="4" t="s">
        <v>622</v>
      </c>
    </row>
    <row r="52" customFormat="false" ht="43.5" hidden="false" customHeight="true" outlineLevel="0" collapsed="false">
      <c r="A52" s="5" t="s">
        <v>849</v>
      </c>
      <c r="B52" s="5" t="s">
        <v>770</v>
      </c>
      <c r="C52" s="5" t="s">
        <v>850</v>
      </c>
      <c r="D52" s="5" t="s">
        <v>772</v>
      </c>
      <c r="E52" s="5" t="s">
        <v>813</v>
      </c>
      <c r="F52" s="5" t="s">
        <v>774</v>
      </c>
      <c r="G52" s="5" t="s">
        <v>789</v>
      </c>
      <c r="H52" s="5" t="s">
        <v>649</v>
      </c>
    </row>
    <row r="53" customFormat="false" ht="43.5" hidden="false" customHeight="true" outlineLevel="0" collapsed="false">
      <c r="A53" s="4" t="s">
        <v>851</v>
      </c>
      <c r="B53" s="4" t="s">
        <v>770</v>
      </c>
      <c r="C53" s="4" t="s">
        <v>852</v>
      </c>
      <c r="D53" s="4" t="s">
        <v>772</v>
      </c>
      <c r="E53" s="4" t="s">
        <v>813</v>
      </c>
      <c r="F53" s="4" t="s">
        <v>774</v>
      </c>
      <c r="G53" s="4" t="s">
        <v>793</v>
      </c>
      <c r="H53" s="4" t="s">
        <v>649</v>
      </c>
    </row>
    <row r="54" customFormat="false" ht="43.5" hidden="false" customHeight="true" outlineLevel="0" collapsed="false">
      <c r="A54" s="5" t="s">
        <v>853</v>
      </c>
      <c r="B54" s="5" t="s">
        <v>770</v>
      </c>
      <c r="C54" s="5" t="s">
        <v>854</v>
      </c>
      <c r="D54" s="5" t="s">
        <v>772</v>
      </c>
      <c r="E54" s="5" t="s">
        <v>813</v>
      </c>
      <c r="F54" s="5" t="s">
        <v>774</v>
      </c>
      <c r="G54" s="5" t="s">
        <v>793</v>
      </c>
      <c r="H54" s="5" t="s">
        <v>622</v>
      </c>
    </row>
  </sheetData>
  <autoFilter ref="A4:H4"/>
  <conditionalFormatting sqref="H5:H54">
    <cfRule type="cellIs" priority="2" operator="equal" aboveAverage="0" equalAverage="0" bottom="0" percent="0" rank="0" text="" dxfId="5">
      <formula>"Verified — primary source"</formula>
    </cfRule>
    <cfRule type="cellIs" priority="3" operator="equal" aboveAverage="0" equalAverage="0" bottom="0" percent="0" rank="0" text="" dxfId="4">
      <formula>"Verified — secondary source"</formula>
    </cfRule>
    <cfRule type="cellIs" priority="4" operator="equal" aboveAverage="0" equalAverage="0" bottom="0" percent="0" rank="0" text="" dxfId="2">
      <formula>"Unverified — not independently confirmed"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34"/>
    <col collapsed="false" customWidth="true" hidden="false" outlineLevel="0" max="5" min="5" style="0" width="84"/>
    <col collapsed="false" customWidth="true" hidden="false" outlineLevel="0" max="6" min="6" style="0" width="26"/>
    <col collapsed="false" customWidth="true" hidden="false" outlineLevel="0" max="7" min="7" style="0" width="22"/>
    <col collapsed="false" customWidth="true" hidden="false" outlineLevel="0" max="8" min="8" style="0" width="60"/>
    <col collapsed="false" customWidth="true" hidden="false" outlineLevel="0" max="9" min="9" style="0" width="12"/>
    <col collapsed="false" customWidth="true" hidden="false" outlineLevel="0" max="10" min="10" style="0" width="11"/>
    <col collapsed="false" customWidth="true" hidden="false" outlineLevel="0" max="11" min="11" style="0" width="46"/>
    <col collapsed="false" customWidth="true" hidden="false" outlineLevel="0" max="12" min="12" style="0" width="20"/>
  </cols>
  <sheetData>
    <row r="1" customFormat="false" ht="17.35" hidden="false" customHeight="false" outlineLevel="0" collapsed="false">
      <c r="A1" s="1" t="s">
        <v>855</v>
      </c>
    </row>
    <row r="2" customFormat="false" ht="15" hidden="false" customHeight="false" outlineLevel="0" collapsed="false">
      <c r="A2" s="2" t="s">
        <v>856</v>
      </c>
    </row>
    <row r="4" customFormat="false" ht="30" hidden="false" customHeight="true" outlineLevel="0" collapsed="false">
      <c r="A4" s="3" t="s">
        <v>857</v>
      </c>
      <c r="B4" s="3" t="s">
        <v>858</v>
      </c>
      <c r="C4" s="3" t="s">
        <v>859</v>
      </c>
      <c r="D4" s="3" t="s">
        <v>860</v>
      </c>
      <c r="E4" s="3" t="s">
        <v>861</v>
      </c>
      <c r="F4" s="3" t="s">
        <v>188</v>
      </c>
      <c r="G4" s="3" t="s">
        <v>862</v>
      </c>
      <c r="H4" s="3" t="s">
        <v>863</v>
      </c>
      <c r="I4" s="3" t="s">
        <v>864</v>
      </c>
      <c r="J4" s="3" t="s">
        <v>865</v>
      </c>
      <c r="K4" s="3" t="s">
        <v>866</v>
      </c>
      <c r="L4" s="3" t="s">
        <v>867</v>
      </c>
    </row>
    <row r="5" customFormat="false" ht="69.75" hidden="false" customHeight="true" outlineLevel="0" collapsed="false">
      <c r="A5" s="4" t="s">
        <v>193</v>
      </c>
      <c r="B5" s="4" t="s">
        <v>868</v>
      </c>
      <c r="C5" s="4" t="s">
        <v>869</v>
      </c>
      <c r="D5" s="4" t="s">
        <v>870</v>
      </c>
      <c r="E5" s="4" t="s">
        <v>871</v>
      </c>
      <c r="F5" s="4" t="s">
        <v>872</v>
      </c>
      <c r="G5" s="4" t="s">
        <v>873</v>
      </c>
      <c r="H5" s="4" t="s">
        <v>874</v>
      </c>
      <c r="I5" s="4" t="s">
        <v>875</v>
      </c>
      <c r="J5" s="4" t="s">
        <v>875</v>
      </c>
      <c r="K5" s="4" t="s">
        <v>876</v>
      </c>
      <c r="L5" s="4" t="s">
        <v>877</v>
      </c>
    </row>
    <row r="6" customFormat="false" ht="69.75" hidden="false" customHeight="true" outlineLevel="0" collapsed="false">
      <c r="A6" s="5" t="s">
        <v>878</v>
      </c>
      <c r="B6" s="5" t="s">
        <v>868</v>
      </c>
      <c r="C6" s="5" t="s">
        <v>869</v>
      </c>
      <c r="D6" s="5" t="s">
        <v>134</v>
      </c>
      <c r="E6" s="5" t="s">
        <v>879</v>
      </c>
      <c r="F6" s="5" t="s">
        <v>191</v>
      </c>
      <c r="G6" s="5" t="s">
        <v>880</v>
      </c>
      <c r="H6" s="5" t="s">
        <v>881</v>
      </c>
      <c r="I6" s="5" t="s">
        <v>875</v>
      </c>
      <c r="J6" s="5" t="s">
        <v>875</v>
      </c>
      <c r="K6" s="5" t="s">
        <v>882</v>
      </c>
      <c r="L6" s="5" t="s">
        <v>883</v>
      </c>
    </row>
    <row r="7" customFormat="false" ht="69.75" hidden="false" customHeight="true" outlineLevel="0" collapsed="false">
      <c r="A7" s="4" t="s">
        <v>884</v>
      </c>
      <c r="B7" s="4" t="s">
        <v>868</v>
      </c>
      <c r="C7" s="4" t="s">
        <v>869</v>
      </c>
      <c r="D7" s="4" t="s">
        <v>885</v>
      </c>
      <c r="E7" s="4" t="s">
        <v>886</v>
      </c>
      <c r="F7" s="4" t="s">
        <v>199</v>
      </c>
      <c r="G7" s="4" t="s">
        <v>873</v>
      </c>
      <c r="H7" s="4" t="s">
        <v>887</v>
      </c>
      <c r="I7" s="4" t="s">
        <v>875</v>
      </c>
      <c r="J7" s="4" t="s">
        <v>875</v>
      </c>
      <c r="K7" s="4" t="s">
        <v>888</v>
      </c>
      <c r="L7" s="4" t="s">
        <v>889</v>
      </c>
    </row>
    <row r="8" customFormat="false" ht="69.75" hidden="false" customHeight="true" outlineLevel="0" collapsed="false">
      <c r="A8" s="5" t="s">
        <v>890</v>
      </c>
      <c r="B8" s="5" t="s">
        <v>868</v>
      </c>
      <c r="C8" s="5" t="s">
        <v>891</v>
      </c>
      <c r="D8" s="5" t="s">
        <v>892</v>
      </c>
      <c r="E8" s="5" t="s">
        <v>893</v>
      </c>
      <c r="F8" s="5" t="s">
        <v>894</v>
      </c>
      <c r="G8" s="5" t="s">
        <v>880</v>
      </c>
      <c r="H8" s="5" t="s">
        <v>895</v>
      </c>
      <c r="I8" s="5" t="s">
        <v>875</v>
      </c>
      <c r="J8" s="5" t="s">
        <v>875</v>
      </c>
      <c r="K8" s="5" t="s">
        <v>896</v>
      </c>
      <c r="L8" s="5" t="s">
        <v>897</v>
      </c>
    </row>
    <row r="9" customFormat="false" ht="69.75" hidden="false" customHeight="true" outlineLevel="0" collapsed="false">
      <c r="A9" s="4" t="s">
        <v>898</v>
      </c>
      <c r="B9" s="4" t="s">
        <v>868</v>
      </c>
      <c r="C9" s="4" t="s">
        <v>891</v>
      </c>
      <c r="D9" s="4" t="s">
        <v>899</v>
      </c>
      <c r="E9" s="4" t="s">
        <v>900</v>
      </c>
      <c r="F9" s="4" t="s">
        <v>901</v>
      </c>
      <c r="G9" s="4" t="s">
        <v>880</v>
      </c>
      <c r="H9" s="4" t="s">
        <v>902</v>
      </c>
      <c r="I9" s="4" t="s">
        <v>903</v>
      </c>
      <c r="J9" s="4" t="s">
        <v>875</v>
      </c>
      <c r="K9" s="4" t="s">
        <v>904</v>
      </c>
      <c r="L9" s="4" t="s">
        <v>905</v>
      </c>
    </row>
    <row r="10" customFormat="false" ht="69.75" hidden="false" customHeight="true" outlineLevel="0" collapsed="false">
      <c r="A10" s="5" t="s">
        <v>906</v>
      </c>
      <c r="B10" s="5" t="s">
        <v>907</v>
      </c>
      <c r="C10" s="5" t="s">
        <v>908</v>
      </c>
      <c r="D10" s="5" t="s">
        <v>140</v>
      </c>
      <c r="E10" s="5" t="s">
        <v>909</v>
      </c>
      <c r="F10" s="5" t="s">
        <v>872</v>
      </c>
      <c r="G10" s="5" t="s">
        <v>873</v>
      </c>
      <c r="H10" s="5" t="s">
        <v>910</v>
      </c>
      <c r="I10" s="5" t="s">
        <v>875</v>
      </c>
      <c r="J10" s="5" t="s">
        <v>875</v>
      </c>
      <c r="K10" s="5" t="s">
        <v>911</v>
      </c>
      <c r="L10" s="5" t="s">
        <v>912</v>
      </c>
    </row>
    <row r="11" customFormat="false" ht="69.75" hidden="false" customHeight="true" outlineLevel="0" collapsed="false">
      <c r="A11" s="4" t="s">
        <v>913</v>
      </c>
      <c r="B11" s="4" t="s">
        <v>907</v>
      </c>
      <c r="C11" s="4" t="s">
        <v>908</v>
      </c>
      <c r="D11" s="4" t="s">
        <v>141</v>
      </c>
      <c r="E11" s="4" t="s">
        <v>914</v>
      </c>
      <c r="F11" s="4" t="s">
        <v>915</v>
      </c>
      <c r="G11" s="4" t="s">
        <v>873</v>
      </c>
      <c r="H11" s="4" t="s">
        <v>916</v>
      </c>
      <c r="I11" s="4" t="s">
        <v>875</v>
      </c>
      <c r="J11" s="4" t="s">
        <v>903</v>
      </c>
      <c r="K11" s="4" t="s">
        <v>917</v>
      </c>
      <c r="L11" s="4" t="s">
        <v>918</v>
      </c>
    </row>
    <row r="12" customFormat="false" ht="69.75" hidden="false" customHeight="true" outlineLevel="0" collapsed="false">
      <c r="A12" s="5" t="s">
        <v>919</v>
      </c>
      <c r="B12" s="5" t="s">
        <v>907</v>
      </c>
      <c r="C12" s="5" t="s">
        <v>908</v>
      </c>
      <c r="D12" s="5" t="s">
        <v>920</v>
      </c>
      <c r="E12" s="5" t="s">
        <v>921</v>
      </c>
      <c r="F12" s="5" t="s">
        <v>922</v>
      </c>
      <c r="G12" s="5" t="s">
        <v>873</v>
      </c>
      <c r="H12" s="5" t="s">
        <v>923</v>
      </c>
      <c r="I12" s="5" t="s">
        <v>875</v>
      </c>
      <c r="J12" s="5" t="s">
        <v>875</v>
      </c>
      <c r="K12" s="5" t="s">
        <v>924</v>
      </c>
      <c r="L12" s="5" t="s">
        <v>925</v>
      </c>
    </row>
    <row r="13" customFormat="false" ht="69.75" hidden="false" customHeight="true" outlineLevel="0" collapsed="false">
      <c r="A13" s="4" t="s">
        <v>926</v>
      </c>
      <c r="B13" s="4" t="s">
        <v>907</v>
      </c>
      <c r="C13" s="4" t="s">
        <v>927</v>
      </c>
      <c r="D13" s="4" t="s">
        <v>928</v>
      </c>
      <c r="E13" s="4" t="s">
        <v>929</v>
      </c>
      <c r="F13" s="4" t="s">
        <v>930</v>
      </c>
      <c r="G13" s="4" t="s">
        <v>873</v>
      </c>
      <c r="H13" s="4" t="s">
        <v>931</v>
      </c>
      <c r="I13" s="4" t="s">
        <v>875</v>
      </c>
      <c r="J13" s="4" t="s">
        <v>875</v>
      </c>
      <c r="K13" s="4" t="s">
        <v>932</v>
      </c>
      <c r="L13" s="4" t="s">
        <v>933</v>
      </c>
    </row>
    <row r="14" customFormat="false" ht="69.75" hidden="false" customHeight="true" outlineLevel="0" collapsed="false">
      <c r="A14" s="5" t="s">
        <v>934</v>
      </c>
      <c r="B14" s="5" t="s">
        <v>935</v>
      </c>
      <c r="C14" s="5" t="s">
        <v>936</v>
      </c>
      <c r="D14" s="5" t="s">
        <v>937</v>
      </c>
      <c r="E14" s="5" t="s">
        <v>938</v>
      </c>
      <c r="F14" s="5" t="s">
        <v>939</v>
      </c>
      <c r="G14" s="5" t="s">
        <v>873</v>
      </c>
      <c r="H14" s="5" t="s">
        <v>940</v>
      </c>
      <c r="I14" s="5" t="s">
        <v>875</v>
      </c>
      <c r="J14" s="5" t="s">
        <v>875</v>
      </c>
      <c r="K14" s="5" t="s">
        <v>941</v>
      </c>
      <c r="L14" s="5" t="s">
        <v>942</v>
      </c>
    </row>
    <row r="15" customFormat="false" ht="69.75" hidden="false" customHeight="true" outlineLevel="0" collapsed="false">
      <c r="A15" s="4" t="s">
        <v>204</v>
      </c>
      <c r="B15" s="4" t="s">
        <v>935</v>
      </c>
      <c r="C15" s="4" t="s">
        <v>936</v>
      </c>
      <c r="D15" s="4" t="s">
        <v>943</v>
      </c>
      <c r="E15" s="4" t="s">
        <v>944</v>
      </c>
      <c r="F15" s="4" t="s">
        <v>945</v>
      </c>
      <c r="G15" s="4" t="s">
        <v>880</v>
      </c>
      <c r="H15" s="4" t="s">
        <v>946</v>
      </c>
      <c r="I15" s="4" t="s">
        <v>903</v>
      </c>
      <c r="J15" s="4" t="s">
        <v>875</v>
      </c>
      <c r="K15" s="4" t="s">
        <v>947</v>
      </c>
      <c r="L15" s="4" t="s">
        <v>948</v>
      </c>
    </row>
    <row r="16" customFormat="false" ht="69.75" hidden="false" customHeight="true" outlineLevel="0" collapsed="false">
      <c r="A16" s="5" t="s">
        <v>949</v>
      </c>
      <c r="B16" s="5" t="s">
        <v>935</v>
      </c>
      <c r="C16" s="5" t="s">
        <v>936</v>
      </c>
      <c r="D16" s="5" t="s">
        <v>950</v>
      </c>
      <c r="E16" s="5" t="s">
        <v>951</v>
      </c>
      <c r="F16" s="5" t="s">
        <v>922</v>
      </c>
      <c r="G16" s="5" t="s">
        <v>873</v>
      </c>
      <c r="H16" s="5" t="s">
        <v>952</v>
      </c>
      <c r="I16" s="5" t="s">
        <v>875</v>
      </c>
      <c r="J16" s="5" t="s">
        <v>875</v>
      </c>
      <c r="K16" s="5" t="s">
        <v>953</v>
      </c>
      <c r="L16" s="5" t="s">
        <v>954</v>
      </c>
    </row>
    <row r="17" customFormat="false" ht="69.75" hidden="false" customHeight="true" outlineLevel="0" collapsed="false">
      <c r="A17" s="4" t="s">
        <v>955</v>
      </c>
      <c r="B17" s="4" t="s">
        <v>935</v>
      </c>
      <c r="C17" s="4" t="s">
        <v>956</v>
      </c>
      <c r="D17" s="4" t="s">
        <v>957</v>
      </c>
      <c r="E17" s="4" t="s">
        <v>958</v>
      </c>
      <c r="F17" s="4" t="s">
        <v>959</v>
      </c>
      <c r="G17" s="4" t="s">
        <v>873</v>
      </c>
      <c r="H17" s="4" t="s">
        <v>960</v>
      </c>
      <c r="I17" s="4" t="s">
        <v>875</v>
      </c>
      <c r="J17" s="4" t="s">
        <v>875</v>
      </c>
      <c r="K17" s="4" t="s">
        <v>961</v>
      </c>
      <c r="L17" s="4" t="s">
        <v>962</v>
      </c>
    </row>
    <row r="18" customFormat="false" ht="69.75" hidden="false" customHeight="true" outlineLevel="0" collapsed="false">
      <c r="A18" s="5" t="s">
        <v>196</v>
      </c>
      <c r="B18" s="5" t="s">
        <v>963</v>
      </c>
      <c r="C18" s="5" t="s">
        <v>964</v>
      </c>
      <c r="D18" s="5" t="s">
        <v>965</v>
      </c>
      <c r="E18" s="5" t="s">
        <v>966</v>
      </c>
      <c r="F18" s="5" t="s">
        <v>967</v>
      </c>
      <c r="G18" s="5" t="s">
        <v>873</v>
      </c>
      <c r="H18" s="5" t="s">
        <v>968</v>
      </c>
      <c r="I18" s="5" t="s">
        <v>875</v>
      </c>
      <c r="J18" s="5" t="s">
        <v>875</v>
      </c>
      <c r="K18" s="5" t="s">
        <v>969</v>
      </c>
      <c r="L18" s="5" t="s">
        <v>970</v>
      </c>
    </row>
    <row r="19" customFormat="false" ht="69.75" hidden="false" customHeight="true" outlineLevel="0" collapsed="false">
      <c r="A19" s="4" t="s">
        <v>971</v>
      </c>
      <c r="B19" s="4" t="s">
        <v>963</v>
      </c>
      <c r="C19" s="4" t="s">
        <v>972</v>
      </c>
      <c r="D19" s="4" t="s">
        <v>973</v>
      </c>
      <c r="E19" s="4" t="s">
        <v>974</v>
      </c>
      <c r="F19" s="4" t="s">
        <v>975</v>
      </c>
      <c r="G19" s="4" t="s">
        <v>873</v>
      </c>
      <c r="H19" s="4" t="s">
        <v>976</v>
      </c>
      <c r="I19" s="4" t="s">
        <v>875</v>
      </c>
      <c r="J19" s="4" t="s">
        <v>875</v>
      </c>
      <c r="K19" s="4" t="s">
        <v>977</v>
      </c>
      <c r="L19" s="4" t="s">
        <v>978</v>
      </c>
    </row>
    <row r="20" customFormat="false" ht="69.75" hidden="false" customHeight="true" outlineLevel="0" collapsed="false">
      <c r="A20" s="5" t="s">
        <v>979</v>
      </c>
      <c r="B20" s="5" t="s">
        <v>963</v>
      </c>
      <c r="C20" s="5" t="s">
        <v>972</v>
      </c>
      <c r="D20" s="5" t="s">
        <v>980</v>
      </c>
      <c r="E20" s="5" t="s">
        <v>981</v>
      </c>
      <c r="F20" s="5" t="s">
        <v>982</v>
      </c>
      <c r="G20" s="5" t="s">
        <v>880</v>
      </c>
      <c r="H20" s="5" t="s">
        <v>983</v>
      </c>
      <c r="I20" s="5" t="s">
        <v>875</v>
      </c>
      <c r="J20" s="5" t="s">
        <v>875</v>
      </c>
      <c r="K20" s="5" t="s">
        <v>984</v>
      </c>
      <c r="L20" s="5" t="s">
        <v>985</v>
      </c>
    </row>
    <row r="21" customFormat="false" ht="69.75" hidden="false" customHeight="true" outlineLevel="0" collapsed="false">
      <c r="A21" s="4" t="s">
        <v>206</v>
      </c>
      <c r="B21" s="4" t="s">
        <v>986</v>
      </c>
      <c r="C21" s="4" t="s">
        <v>987</v>
      </c>
      <c r="D21" s="4" t="s">
        <v>988</v>
      </c>
      <c r="E21" s="4" t="s">
        <v>989</v>
      </c>
      <c r="F21" s="4" t="s">
        <v>990</v>
      </c>
      <c r="G21" s="4" t="s">
        <v>873</v>
      </c>
      <c r="H21" s="4" t="s">
        <v>991</v>
      </c>
      <c r="I21" s="4" t="s">
        <v>875</v>
      </c>
      <c r="J21" s="4" t="s">
        <v>875</v>
      </c>
      <c r="K21" s="4" t="s">
        <v>992</v>
      </c>
      <c r="L21" s="4" t="s">
        <v>993</v>
      </c>
    </row>
    <row r="22" customFormat="false" ht="69.75" hidden="false" customHeight="true" outlineLevel="0" collapsed="false">
      <c r="A22" s="5" t="s">
        <v>209</v>
      </c>
      <c r="B22" s="5" t="s">
        <v>986</v>
      </c>
      <c r="C22" s="5" t="s">
        <v>994</v>
      </c>
      <c r="D22" s="5" t="s">
        <v>146</v>
      </c>
      <c r="E22" s="5" t="s">
        <v>995</v>
      </c>
      <c r="F22" s="5" t="s">
        <v>996</v>
      </c>
      <c r="G22" s="5" t="s">
        <v>873</v>
      </c>
      <c r="H22" s="5" t="s">
        <v>997</v>
      </c>
      <c r="I22" s="5" t="s">
        <v>875</v>
      </c>
      <c r="J22" s="5" t="s">
        <v>875</v>
      </c>
      <c r="K22" s="5" t="s">
        <v>998</v>
      </c>
      <c r="L22" s="5" t="s">
        <v>999</v>
      </c>
    </row>
    <row r="23" customFormat="false" ht="69.75" hidden="false" customHeight="true" outlineLevel="0" collapsed="false">
      <c r="A23" s="4" t="s">
        <v>212</v>
      </c>
      <c r="B23" s="4" t="s">
        <v>986</v>
      </c>
      <c r="C23" s="4" t="s">
        <v>1000</v>
      </c>
      <c r="D23" s="4" t="s">
        <v>1001</v>
      </c>
      <c r="E23" s="4" t="s">
        <v>1002</v>
      </c>
      <c r="F23" s="4" t="s">
        <v>1003</v>
      </c>
      <c r="G23" s="4" t="s">
        <v>873</v>
      </c>
      <c r="H23" s="4" t="s">
        <v>1004</v>
      </c>
      <c r="I23" s="4" t="s">
        <v>875</v>
      </c>
      <c r="J23" s="4" t="s">
        <v>875</v>
      </c>
      <c r="K23" s="4" t="s">
        <v>1005</v>
      </c>
      <c r="L23" s="4" t="s">
        <v>1006</v>
      </c>
    </row>
    <row r="24" customFormat="false" ht="69.75" hidden="false" customHeight="true" outlineLevel="0" collapsed="false">
      <c r="A24" s="5" t="s">
        <v>214</v>
      </c>
      <c r="B24" s="5" t="s">
        <v>1007</v>
      </c>
      <c r="C24" s="5" t="s">
        <v>1008</v>
      </c>
      <c r="D24" s="5" t="s">
        <v>148</v>
      </c>
      <c r="E24" s="5" t="s">
        <v>1009</v>
      </c>
      <c r="F24" s="5" t="s">
        <v>930</v>
      </c>
      <c r="G24" s="5" t="s">
        <v>880</v>
      </c>
      <c r="H24" s="5" t="s">
        <v>1010</v>
      </c>
      <c r="I24" s="5" t="s">
        <v>903</v>
      </c>
      <c r="J24" s="5" t="s">
        <v>875</v>
      </c>
      <c r="K24" s="5" t="s">
        <v>1011</v>
      </c>
      <c r="L24" s="5" t="s">
        <v>1012</v>
      </c>
    </row>
    <row r="25" customFormat="false" ht="69.75" hidden="false" customHeight="true" outlineLevel="0" collapsed="false">
      <c r="A25" s="4" t="s">
        <v>1013</v>
      </c>
      <c r="B25" s="4" t="s">
        <v>1007</v>
      </c>
      <c r="C25" s="4" t="s">
        <v>1014</v>
      </c>
      <c r="D25" s="4" t="s">
        <v>149</v>
      </c>
      <c r="E25" s="4" t="s">
        <v>1015</v>
      </c>
      <c r="F25" s="4" t="s">
        <v>1016</v>
      </c>
      <c r="G25" s="4" t="s">
        <v>873</v>
      </c>
      <c r="H25" s="4" t="s">
        <v>1017</v>
      </c>
      <c r="I25" s="4" t="s">
        <v>875</v>
      </c>
      <c r="J25" s="4" t="s">
        <v>875</v>
      </c>
      <c r="K25" s="4" t="s">
        <v>1018</v>
      </c>
      <c r="L25" s="4" t="s">
        <v>1019</v>
      </c>
    </row>
    <row r="26" customFormat="false" ht="69.75" hidden="false" customHeight="true" outlineLevel="0" collapsed="false">
      <c r="A26" s="5" t="s">
        <v>1020</v>
      </c>
      <c r="B26" s="5" t="s">
        <v>1007</v>
      </c>
      <c r="C26" s="5" t="s">
        <v>1014</v>
      </c>
      <c r="D26" s="5" t="s">
        <v>1021</v>
      </c>
      <c r="E26" s="5" t="s">
        <v>1022</v>
      </c>
      <c r="F26" s="5" t="s">
        <v>990</v>
      </c>
      <c r="G26" s="5" t="s">
        <v>873</v>
      </c>
      <c r="H26" s="5" t="s">
        <v>1023</v>
      </c>
      <c r="I26" s="5" t="s">
        <v>875</v>
      </c>
      <c r="J26" s="5" t="s">
        <v>875</v>
      </c>
      <c r="K26" s="5" t="s">
        <v>1024</v>
      </c>
      <c r="L26" s="5" t="s">
        <v>1025</v>
      </c>
    </row>
    <row r="27" customFormat="false" ht="69.75" hidden="false" customHeight="true" outlineLevel="0" collapsed="false">
      <c r="A27" s="4" t="s">
        <v>217</v>
      </c>
      <c r="B27" s="4" t="s">
        <v>1007</v>
      </c>
      <c r="C27" s="4" t="s">
        <v>1014</v>
      </c>
      <c r="D27" s="4" t="s">
        <v>150</v>
      </c>
      <c r="E27" s="4" t="s">
        <v>1026</v>
      </c>
      <c r="F27" s="4" t="s">
        <v>191</v>
      </c>
      <c r="G27" s="4" t="s">
        <v>873</v>
      </c>
      <c r="H27" s="4" t="s">
        <v>1027</v>
      </c>
      <c r="I27" s="4" t="s">
        <v>875</v>
      </c>
      <c r="J27" s="4" t="s">
        <v>875</v>
      </c>
      <c r="K27" s="4" t="s">
        <v>1028</v>
      </c>
      <c r="L27" s="4" t="s">
        <v>1029</v>
      </c>
    </row>
    <row r="28" customFormat="false" ht="69.75" hidden="false" customHeight="true" outlineLevel="0" collapsed="false">
      <c r="A28" s="5" t="s">
        <v>220</v>
      </c>
      <c r="B28" s="5" t="s">
        <v>1007</v>
      </c>
      <c r="C28" s="5" t="s">
        <v>1030</v>
      </c>
      <c r="D28" s="5" t="s">
        <v>151</v>
      </c>
      <c r="E28" s="5" t="s">
        <v>1031</v>
      </c>
      <c r="F28" s="5" t="s">
        <v>1032</v>
      </c>
      <c r="G28" s="5" t="s">
        <v>880</v>
      </c>
      <c r="H28" s="5" t="s">
        <v>1033</v>
      </c>
      <c r="I28" s="5" t="s">
        <v>875</v>
      </c>
      <c r="J28" s="5" t="s">
        <v>875</v>
      </c>
      <c r="K28" s="5" t="s">
        <v>1034</v>
      </c>
      <c r="L28" s="5" t="s">
        <v>1035</v>
      </c>
    </row>
    <row r="29" customFormat="false" ht="69.75" hidden="false" customHeight="true" outlineLevel="0" collapsed="false">
      <c r="A29" s="4" t="s">
        <v>222</v>
      </c>
      <c r="B29" s="4" t="s">
        <v>1036</v>
      </c>
      <c r="C29" s="4" t="s">
        <v>1037</v>
      </c>
      <c r="D29" s="4" t="s">
        <v>152</v>
      </c>
      <c r="E29" s="4" t="s">
        <v>1038</v>
      </c>
      <c r="F29" s="4" t="s">
        <v>1039</v>
      </c>
      <c r="G29" s="4" t="s">
        <v>873</v>
      </c>
      <c r="H29" s="4" t="s">
        <v>1040</v>
      </c>
      <c r="I29" s="4" t="s">
        <v>875</v>
      </c>
      <c r="J29" s="4" t="s">
        <v>875</v>
      </c>
      <c r="K29" s="4" t="s">
        <v>1041</v>
      </c>
      <c r="L29" s="4" t="s">
        <v>1042</v>
      </c>
    </row>
    <row r="30" customFormat="false" ht="69.75" hidden="false" customHeight="true" outlineLevel="0" collapsed="false">
      <c r="A30" s="5" t="s">
        <v>224</v>
      </c>
      <c r="B30" s="5" t="s">
        <v>1036</v>
      </c>
      <c r="C30" s="5" t="s">
        <v>1043</v>
      </c>
      <c r="D30" s="5" t="s">
        <v>153</v>
      </c>
      <c r="E30" s="5" t="s">
        <v>1044</v>
      </c>
      <c r="F30" s="5" t="s">
        <v>1045</v>
      </c>
      <c r="G30" s="5" t="s">
        <v>873</v>
      </c>
      <c r="H30" s="5" t="s">
        <v>1046</v>
      </c>
      <c r="I30" s="5" t="s">
        <v>875</v>
      </c>
      <c r="J30" s="5" t="s">
        <v>875</v>
      </c>
      <c r="K30" s="5" t="s">
        <v>1047</v>
      </c>
      <c r="L30" s="5" t="s">
        <v>1048</v>
      </c>
    </row>
    <row r="31" customFormat="false" ht="69.75" hidden="false" customHeight="true" outlineLevel="0" collapsed="false">
      <c r="A31" s="4" t="s">
        <v>227</v>
      </c>
      <c r="B31" s="4" t="s">
        <v>1036</v>
      </c>
      <c r="C31" s="4" t="s">
        <v>1049</v>
      </c>
      <c r="D31" s="4" t="s">
        <v>1050</v>
      </c>
      <c r="E31" s="4" t="s">
        <v>1051</v>
      </c>
      <c r="F31" s="4" t="s">
        <v>1003</v>
      </c>
      <c r="G31" s="4" t="s">
        <v>873</v>
      </c>
      <c r="H31" s="4" t="s">
        <v>1052</v>
      </c>
      <c r="I31" s="4" t="s">
        <v>875</v>
      </c>
      <c r="J31" s="4" t="s">
        <v>875</v>
      </c>
      <c r="K31" s="4" t="s">
        <v>1053</v>
      </c>
      <c r="L31" s="4" t="s">
        <v>1054</v>
      </c>
    </row>
    <row r="32" customFormat="false" ht="69.75" hidden="false" customHeight="true" outlineLevel="0" collapsed="false">
      <c r="A32" s="5" t="s">
        <v>229</v>
      </c>
      <c r="B32" s="5" t="s">
        <v>1036</v>
      </c>
      <c r="C32" s="5" t="s">
        <v>1049</v>
      </c>
      <c r="D32" s="5" t="s">
        <v>155</v>
      </c>
      <c r="E32" s="5" t="s">
        <v>1055</v>
      </c>
      <c r="F32" s="5" t="s">
        <v>1056</v>
      </c>
      <c r="G32" s="5" t="s">
        <v>873</v>
      </c>
      <c r="H32" s="5" t="s">
        <v>1057</v>
      </c>
      <c r="I32" s="5" t="s">
        <v>875</v>
      </c>
      <c r="J32" s="5" t="s">
        <v>875</v>
      </c>
      <c r="K32" s="5" t="s">
        <v>1058</v>
      </c>
      <c r="L32" s="5" t="s">
        <v>1059</v>
      </c>
    </row>
    <row r="33" customFormat="false" ht="69.75" hidden="false" customHeight="true" outlineLevel="0" collapsed="false">
      <c r="A33" s="4" t="s">
        <v>232</v>
      </c>
      <c r="B33" s="4" t="s">
        <v>1036</v>
      </c>
      <c r="C33" s="4" t="s">
        <v>1060</v>
      </c>
      <c r="D33" s="4" t="s">
        <v>1061</v>
      </c>
      <c r="E33" s="4" t="s">
        <v>1062</v>
      </c>
      <c r="F33" s="4" t="s">
        <v>930</v>
      </c>
      <c r="G33" s="4" t="s">
        <v>873</v>
      </c>
      <c r="H33" s="4" t="s">
        <v>1063</v>
      </c>
      <c r="I33" s="4" t="s">
        <v>875</v>
      </c>
      <c r="J33" s="4" t="s">
        <v>875</v>
      </c>
      <c r="K33" s="4" t="s">
        <v>1064</v>
      </c>
      <c r="L33" s="4" t="s">
        <v>1065</v>
      </c>
    </row>
    <row r="34" customFormat="false" ht="69.75" hidden="false" customHeight="true" outlineLevel="0" collapsed="false">
      <c r="A34" s="5" t="s">
        <v>234</v>
      </c>
      <c r="B34" s="5" t="s">
        <v>1036</v>
      </c>
      <c r="C34" s="5" t="s">
        <v>1060</v>
      </c>
      <c r="D34" s="5" t="s">
        <v>1066</v>
      </c>
      <c r="E34" s="5" t="s">
        <v>1067</v>
      </c>
      <c r="F34" s="5" t="s">
        <v>216</v>
      </c>
      <c r="G34" s="5" t="s">
        <v>873</v>
      </c>
      <c r="H34" s="5" t="s">
        <v>1068</v>
      </c>
      <c r="I34" s="5" t="s">
        <v>875</v>
      </c>
      <c r="J34" s="5" t="s">
        <v>875</v>
      </c>
      <c r="K34" s="5" t="s">
        <v>1069</v>
      </c>
      <c r="L34" s="5" t="s">
        <v>1070</v>
      </c>
    </row>
    <row r="35" customFormat="false" ht="69.75" hidden="false" customHeight="true" outlineLevel="0" collapsed="false">
      <c r="A35" s="4" t="s">
        <v>236</v>
      </c>
      <c r="B35" s="4" t="s">
        <v>1036</v>
      </c>
      <c r="C35" s="4" t="s">
        <v>1071</v>
      </c>
      <c r="D35" s="4" t="s">
        <v>1072</v>
      </c>
      <c r="E35" s="4" t="s">
        <v>1073</v>
      </c>
      <c r="F35" s="4" t="s">
        <v>1074</v>
      </c>
      <c r="G35" s="4" t="s">
        <v>880</v>
      </c>
      <c r="H35" s="4" t="s">
        <v>1075</v>
      </c>
      <c r="I35" s="4" t="s">
        <v>875</v>
      </c>
      <c r="J35" s="4" t="s">
        <v>875</v>
      </c>
      <c r="K35" s="4" t="s">
        <v>1076</v>
      </c>
      <c r="L35" s="4" t="s">
        <v>1077</v>
      </c>
    </row>
    <row r="36" customFormat="false" ht="69.75" hidden="false" customHeight="true" outlineLevel="0" collapsed="false">
      <c r="A36" s="5" t="s">
        <v>1078</v>
      </c>
      <c r="B36" s="5" t="s">
        <v>1079</v>
      </c>
      <c r="C36" s="5" t="s">
        <v>1080</v>
      </c>
      <c r="D36" s="5" t="s">
        <v>1081</v>
      </c>
      <c r="E36" s="5" t="s">
        <v>1082</v>
      </c>
      <c r="F36" s="5" t="s">
        <v>1083</v>
      </c>
      <c r="G36" s="5" t="s">
        <v>873</v>
      </c>
      <c r="H36" s="5" t="s">
        <v>1084</v>
      </c>
      <c r="I36" s="5" t="s">
        <v>875</v>
      </c>
      <c r="J36" s="5" t="s">
        <v>875</v>
      </c>
      <c r="K36" s="5" t="s">
        <v>1085</v>
      </c>
      <c r="L36" s="5" t="s">
        <v>1086</v>
      </c>
    </row>
    <row r="37" customFormat="false" ht="69.75" hidden="false" customHeight="true" outlineLevel="0" collapsed="false">
      <c r="A37" s="4" t="s">
        <v>242</v>
      </c>
      <c r="B37" s="4" t="s">
        <v>1079</v>
      </c>
      <c r="C37" s="4" t="s">
        <v>1080</v>
      </c>
      <c r="D37" s="4" t="s">
        <v>1087</v>
      </c>
      <c r="E37" s="4" t="s">
        <v>1088</v>
      </c>
      <c r="F37" s="4" t="s">
        <v>1089</v>
      </c>
      <c r="G37" s="4" t="s">
        <v>880</v>
      </c>
      <c r="H37" s="4" t="s">
        <v>1090</v>
      </c>
      <c r="I37" s="4" t="s">
        <v>875</v>
      </c>
      <c r="J37" s="4" t="s">
        <v>875</v>
      </c>
      <c r="K37" s="4" t="s">
        <v>1091</v>
      </c>
      <c r="L37" s="4" t="s">
        <v>1092</v>
      </c>
    </row>
    <row r="38" customFormat="false" ht="69.75" hidden="false" customHeight="true" outlineLevel="0" collapsed="false">
      <c r="A38" s="5" t="s">
        <v>1093</v>
      </c>
      <c r="B38" s="5" t="s">
        <v>1079</v>
      </c>
      <c r="C38" s="5" t="s">
        <v>1094</v>
      </c>
      <c r="D38" s="5" t="s">
        <v>1095</v>
      </c>
      <c r="E38" s="5" t="s">
        <v>1096</v>
      </c>
      <c r="F38" s="5" t="s">
        <v>1097</v>
      </c>
      <c r="G38" s="5" t="s">
        <v>873</v>
      </c>
      <c r="H38" s="5" t="s">
        <v>1098</v>
      </c>
      <c r="I38" s="5" t="s">
        <v>875</v>
      </c>
      <c r="J38" s="5" t="s">
        <v>875</v>
      </c>
      <c r="K38" s="5" t="s">
        <v>1099</v>
      </c>
      <c r="L38" s="5" t="s">
        <v>1100</v>
      </c>
    </row>
    <row r="39" customFormat="false" ht="69.75" hidden="false" customHeight="true" outlineLevel="0" collapsed="false">
      <c r="A39" s="4" t="s">
        <v>1101</v>
      </c>
      <c r="B39" s="4" t="s">
        <v>1079</v>
      </c>
      <c r="C39" s="4" t="s">
        <v>1094</v>
      </c>
      <c r="D39" s="4" t="s">
        <v>1102</v>
      </c>
      <c r="E39" s="4" t="s">
        <v>1103</v>
      </c>
      <c r="F39" s="4" t="s">
        <v>1104</v>
      </c>
      <c r="G39" s="4" t="s">
        <v>1105</v>
      </c>
      <c r="H39" s="4" t="s">
        <v>1106</v>
      </c>
      <c r="I39" s="4" t="s">
        <v>903</v>
      </c>
      <c r="J39" s="4" t="s">
        <v>903</v>
      </c>
      <c r="K39" s="4" t="s">
        <v>1107</v>
      </c>
      <c r="L39" s="4" t="s">
        <v>1108</v>
      </c>
    </row>
    <row r="40" customFormat="false" ht="69.75" hidden="false" customHeight="true" outlineLevel="0" collapsed="false">
      <c r="A40" s="5" t="s">
        <v>246</v>
      </c>
      <c r="B40" s="5" t="s">
        <v>1109</v>
      </c>
      <c r="C40" s="5" t="s">
        <v>1110</v>
      </c>
      <c r="D40" s="5" t="s">
        <v>1111</v>
      </c>
      <c r="E40" s="5" t="s">
        <v>1112</v>
      </c>
      <c r="F40" s="5" t="s">
        <v>247</v>
      </c>
      <c r="G40" s="5" t="s">
        <v>873</v>
      </c>
      <c r="H40" s="5" t="s">
        <v>1113</v>
      </c>
      <c r="I40" s="5" t="s">
        <v>875</v>
      </c>
      <c r="J40" s="5" t="s">
        <v>903</v>
      </c>
      <c r="K40" s="5" t="s">
        <v>1114</v>
      </c>
      <c r="L40" s="5" t="s">
        <v>1115</v>
      </c>
    </row>
    <row r="41" customFormat="false" ht="69.75" hidden="false" customHeight="true" outlineLevel="0" collapsed="false">
      <c r="A41" s="4" t="s">
        <v>249</v>
      </c>
      <c r="B41" s="4" t="s">
        <v>1109</v>
      </c>
      <c r="C41" s="4" t="s">
        <v>1116</v>
      </c>
      <c r="D41" s="4" t="s">
        <v>164</v>
      </c>
      <c r="E41" s="4" t="s">
        <v>1117</v>
      </c>
      <c r="F41" s="4" t="s">
        <v>1118</v>
      </c>
      <c r="G41" s="4" t="s">
        <v>873</v>
      </c>
      <c r="H41" s="4" t="s">
        <v>1119</v>
      </c>
      <c r="I41" s="4" t="s">
        <v>875</v>
      </c>
      <c r="J41" s="4" t="s">
        <v>875</v>
      </c>
      <c r="K41" s="4" t="s">
        <v>1120</v>
      </c>
      <c r="L41" s="4" t="s">
        <v>1121</v>
      </c>
    </row>
    <row r="42" customFormat="false" ht="69.75" hidden="false" customHeight="true" outlineLevel="0" collapsed="false">
      <c r="A42" s="5" t="s">
        <v>251</v>
      </c>
      <c r="B42" s="5" t="s">
        <v>1109</v>
      </c>
      <c r="C42" s="5" t="s">
        <v>1122</v>
      </c>
      <c r="D42" s="5" t="s">
        <v>165</v>
      </c>
      <c r="E42" s="5" t="s">
        <v>1123</v>
      </c>
      <c r="F42" s="5" t="s">
        <v>1124</v>
      </c>
      <c r="G42" s="5" t="s">
        <v>873</v>
      </c>
      <c r="H42" s="5" t="s">
        <v>1125</v>
      </c>
      <c r="I42" s="5" t="s">
        <v>875</v>
      </c>
      <c r="J42" s="5" t="s">
        <v>875</v>
      </c>
      <c r="K42" s="5" t="s">
        <v>1126</v>
      </c>
      <c r="L42" s="5" t="s">
        <v>1127</v>
      </c>
    </row>
    <row r="43" customFormat="false" ht="69.75" hidden="false" customHeight="true" outlineLevel="0" collapsed="false">
      <c r="A43" s="4" t="s">
        <v>253</v>
      </c>
      <c r="B43" s="4" t="s">
        <v>1109</v>
      </c>
      <c r="C43" s="4" t="s">
        <v>1128</v>
      </c>
      <c r="D43" s="4" t="s">
        <v>1129</v>
      </c>
      <c r="E43" s="4" t="s">
        <v>1130</v>
      </c>
      <c r="F43" s="4" t="s">
        <v>1131</v>
      </c>
      <c r="G43" s="4" t="s">
        <v>880</v>
      </c>
      <c r="H43" s="4" t="s">
        <v>1132</v>
      </c>
      <c r="I43" s="4" t="s">
        <v>875</v>
      </c>
      <c r="J43" s="4" t="s">
        <v>903</v>
      </c>
      <c r="K43" s="4" t="s">
        <v>1133</v>
      </c>
      <c r="L43" s="4" t="s">
        <v>1134</v>
      </c>
    </row>
    <row r="44" customFormat="false" ht="69.75" hidden="false" customHeight="true" outlineLevel="0" collapsed="false">
      <c r="A44" s="5" t="s">
        <v>256</v>
      </c>
      <c r="B44" s="5" t="s">
        <v>1109</v>
      </c>
      <c r="C44" s="5" t="s">
        <v>1135</v>
      </c>
      <c r="D44" s="5" t="s">
        <v>1136</v>
      </c>
      <c r="E44" s="5" t="s">
        <v>1137</v>
      </c>
      <c r="F44" s="5" t="s">
        <v>1138</v>
      </c>
      <c r="G44" s="5" t="s">
        <v>1139</v>
      </c>
      <c r="H44" s="5" t="s">
        <v>1140</v>
      </c>
      <c r="I44" s="5" t="s">
        <v>903</v>
      </c>
      <c r="J44" s="5" t="s">
        <v>903</v>
      </c>
      <c r="K44" s="5" t="s">
        <v>1141</v>
      </c>
      <c r="L44" s="5" t="s">
        <v>1142</v>
      </c>
    </row>
    <row r="45" customFormat="false" ht="69.75" hidden="false" customHeight="true" outlineLevel="0" collapsed="false">
      <c r="A45" s="4" t="s">
        <v>259</v>
      </c>
      <c r="B45" s="4" t="s">
        <v>1109</v>
      </c>
      <c r="C45" s="4" t="s">
        <v>1143</v>
      </c>
      <c r="D45" s="4" t="s">
        <v>1144</v>
      </c>
      <c r="E45" s="4" t="s">
        <v>1145</v>
      </c>
      <c r="F45" s="4" t="s">
        <v>1146</v>
      </c>
      <c r="G45" s="4" t="s">
        <v>873</v>
      </c>
      <c r="H45" s="4" t="s">
        <v>1147</v>
      </c>
      <c r="I45" s="4" t="s">
        <v>875</v>
      </c>
      <c r="J45" s="4" t="s">
        <v>875</v>
      </c>
      <c r="K45" s="4" t="s">
        <v>1148</v>
      </c>
      <c r="L45" s="4" t="s">
        <v>1149</v>
      </c>
    </row>
    <row r="46" customFormat="false" ht="69.75" hidden="false" customHeight="true" outlineLevel="0" collapsed="false">
      <c r="A46" s="5" t="s">
        <v>261</v>
      </c>
      <c r="B46" s="5" t="s">
        <v>1150</v>
      </c>
      <c r="C46" s="5" t="s">
        <v>1151</v>
      </c>
      <c r="D46" s="5" t="s">
        <v>1152</v>
      </c>
      <c r="E46" s="5" t="s">
        <v>1153</v>
      </c>
      <c r="F46" s="5" t="s">
        <v>1154</v>
      </c>
      <c r="G46" s="5" t="s">
        <v>873</v>
      </c>
      <c r="H46" s="5" t="s">
        <v>1155</v>
      </c>
      <c r="I46" s="5" t="s">
        <v>875</v>
      </c>
      <c r="J46" s="5" t="s">
        <v>875</v>
      </c>
      <c r="K46" s="5" t="s">
        <v>1156</v>
      </c>
      <c r="L46" s="5" t="s">
        <v>1157</v>
      </c>
    </row>
    <row r="47" customFormat="false" ht="69.75" hidden="false" customHeight="true" outlineLevel="0" collapsed="false">
      <c r="A47" s="4" t="s">
        <v>263</v>
      </c>
      <c r="B47" s="4" t="s">
        <v>1150</v>
      </c>
      <c r="C47" s="4" t="s">
        <v>1158</v>
      </c>
      <c r="D47" s="4" t="s">
        <v>170</v>
      </c>
      <c r="E47" s="4" t="s">
        <v>1159</v>
      </c>
      <c r="F47" s="4" t="s">
        <v>1160</v>
      </c>
      <c r="G47" s="4" t="s">
        <v>880</v>
      </c>
      <c r="H47" s="4" t="s">
        <v>1161</v>
      </c>
      <c r="I47" s="4" t="s">
        <v>875</v>
      </c>
      <c r="J47" s="4" t="s">
        <v>903</v>
      </c>
      <c r="K47" s="4" t="s">
        <v>1162</v>
      </c>
      <c r="L47" s="4" t="s">
        <v>1163</v>
      </c>
    </row>
    <row r="48" customFormat="false" ht="69.75" hidden="false" customHeight="true" outlineLevel="0" collapsed="false">
      <c r="A48" s="5" t="s">
        <v>265</v>
      </c>
      <c r="B48" s="5" t="s">
        <v>1150</v>
      </c>
      <c r="C48" s="5" t="s">
        <v>1164</v>
      </c>
      <c r="D48" s="5" t="s">
        <v>1165</v>
      </c>
      <c r="E48" s="5" t="s">
        <v>1166</v>
      </c>
      <c r="F48" s="5" t="s">
        <v>990</v>
      </c>
      <c r="G48" s="5" t="s">
        <v>873</v>
      </c>
      <c r="H48" s="5" t="s">
        <v>1167</v>
      </c>
      <c r="I48" s="5" t="s">
        <v>875</v>
      </c>
      <c r="J48" s="5" t="s">
        <v>875</v>
      </c>
      <c r="K48" s="5" t="s">
        <v>1168</v>
      </c>
      <c r="L48" s="5" t="s">
        <v>1169</v>
      </c>
    </row>
    <row r="49" customFormat="false" ht="69.75" hidden="false" customHeight="true" outlineLevel="0" collapsed="false">
      <c r="A49" s="4" t="s">
        <v>267</v>
      </c>
      <c r="B49" s="4" t="s">
        <v>1150</v>
      </c>
      <c r="C49" s="4" t="s">
        <v>1170</v>
      </c>
      <c r="D49" s="4" t="s">
        <v>1171</v>
      </c>
      <c r="E49" s="4" t="s">
        <v>1172</v>
      </c>
      <c r="F49" s="4" t="s">
        <v>1173</v>
      </c>
      <c r="G49" s="4" t="s">
        <v>1174</v>
      </c>
      <c r="H49" s="4" t="s">
        <v>1175</v>
      </c>
      <c r="I49" s="4" t="s">
        <v>875</v>
      </c>
      <c r="J49" s="4" t="s">
        <v>903</v>
      </c>
      <c r="K49" s="4" t="s">
        <v>1176</v>
      </c>
      <c r="L49" s="4" t="s">
        <v>1177</v>
      </c>
    </row>
  </sheetData>
  <autoFilter ref="A4:L4"/>
  <conditionalFormatting sqref="I5:J49">
    <cfRule type="cellIs" priority="2" operator="equal" aboveAverage="0" equalAverage="0" bottom="0" percent="0" rank="0" text="" dxfId="2">
      <formula>"REFUTED"</formula>
    </cfRule>
    <cfRule type="cellIs" priority="3" operator="equal" aboveAverage="0" equalAverage="0" bottom="0" percent="0" rank="0" text="" dxfId="3">
      <formula>"PARTIALLY_WRONG"</formula>
    </cfRule>
    <cfRule type="cellIs" priority="4" operator="equal" aboveAverage="0" equalAverage="0" bottom="0" percent="0" rank="0" text="" dxfId="4">
      <formula>"UNSUPPORTED"</formula>
    </cfRule>
    <cfRule type="cellIs" priority="5" operator="equal" aboveAverage="0" equalAverage="0" bottom="0" percent="0" rank="0" text="" dxfId="5">
      <formula>"CONFIRMED"</formula>
    </cfRule>
    <cfRule type="cellIs" priority="6" operator="equal" aboveAverage="0" equalAverage="0" bottom="0" percent="0" rank="0" text="" dxfId="2">
      <formula>"High"</formula>
    </cfRule>
    <cfRule type="cellIs" priority="7" operator="equal" aboveAverage="0" equalAverage="0" bottom="0" percent="0" rank="0" text="" dxfId="4">
      <formula>"Medium"</formula>
    </cfRule>
    <cfRule type="cellIs" priority="8" operator="equal" aboveAverage="0" equalAverage="0" bottom="0" percent="0" rank="0" text="" dxfId="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10" min="3" style="0" width="20"/>
    <col collapsed="false" customWidth="true" hidden="false" outlineLevel="0" max="11" min="11" style="0" width="34"/>
    <col collapsed="false" customWidth="true" hidden="false" outlineLevel="0" max="12" min="12" style="0" width="30"/>
  </cols>
  <sheetData>
    <row r="1" customFormat="false" ht="17.35" hidden="false" customHeight="false" outlineLevel="0" collapsed="false">
      <c r="A1" s="1" t="s">
        <v>1178</v>
      </c>
    </row>
    <row r="2" customFormat="false" ht="15" hidden="false" customHeight="false" outlineLevel="0" collapsed="false">
      <c r="A2" s="2" t="s">
        <v>1179</v>
      </c>
    </row>
    <row r="4" customFormat="false" ht="30" hidden="false" customHeight="true" outlineLevel="0" collapsed="false">
      <c r="A4" s="3" t="s">
        <v>857</v>
      </c>
      <c r="B4" s="3" t="s">
        <v>1180</v>
      </c>
      <c r="C4" s="3" t="s">
        <v>770</v>
      </c>
      <c r="D4" s="3" t="s">
        <v>1181</v>
      </c>
      <c r="E4" s="3" t="s">
        <v>195</v>
      </c>
      <c r="F4" s="3" t="s">
        <v>192</v>
      </c>
      <c r="G4" s="3" t="s">
        <v>219</v>
      </c>
      <c r="H4" s="3" t="s">
        <v>367</v>
      </c>
      <c r="I4" s="3" t="s">
        <v>248</v>
      </c>
      <c r="J4" s="3" t="s">
        <v>368</v>
      </c>
      <c r="K4" s="3" t="s">
        <v>1182</v>
      </c>
      <c r="L4" s="3" t="s">
        <v>1183</v>
      </c>
    </row>
    <row r="5" customFormat="false" ht="48" hidden="false" customHeight="true" outlineLevel="0" collapsed="false">
      <c r="A5" s="4" t="s">
        <v>193</v>
      </c>
      <c r="B5" s="4" t="s">
        <v>870</v>
      </c>
      <c r="C5" s="4" t="s">
        <v>1184</v>
      </c>
      <c r="D5" s="4" t="s">
        <v>1184</v>
      </c>
      <c r="E5" s="4" t="s">
        <v>1184</v>
      </c>
      <c r="F5" s="4" t="s">
        <v>1184</v>
      </c>
      <c r="G5" s="4" t="s">
        <v>1184</v>
      </c>
      <c r="H5" s="4" t="s">
        <v>1185</v>
      </c>
      <c r="I5" s="4" t="s">
        <v>1185</v>
      </c>
      <c r="J5" s="4" t="s">
        <v>1185</v>
      </c>
      <c r="K5" s="4" t="s">
        <v>1186</v>
      </c>
      <c r="L5" s="4" t="s">
        <v>872</v>
      </c>
    </row>
    <row r="6" customFormat="false" ht="48" hidden="false" customHeight="true" outlineLevel="0" collapsed="false">
      <c r="A6" s="5" t="s">
        <v>878</v>
      </c>
      <c r="B6" s="5" t="s">
        <v>134</v>
      </c>
      <c r="C6" s="5" t="s">
        <v>1185</v>
      </c>
      <c r="D6" s="5" t="s">
        <v>1187</v>
      </c>
      <c r="E6" s="5" t="s">
        <v>1184</v>
      </c>
      <c r="F6" s="5" t="s">
        <v>1184</v>
      </c>
      <c r="G6" s="5" t="s">
        <v>1185</v>
      </c>
      <c r="H6" s="5" t="s">
        <v>1185</v>
      </c>
      <c r="I6" s="5" t="s">
        <v>1185</v>
      </c>
      <c r="J6" s="5" t="s">
        <v>1185</v>
      </c>
      <c r="K6" s="5" t="s">
        <v>1186</v>
      </c>
      <c r="L6" s="5" t="s">
        <v>1188</v>
      </c>
    </row>
    <row r="7" customFormat="false" ht="48" hidden="false" customHeight="true" outlineLevel="0" collapsed="false">
      <c r="A7" s="4" t="s">
        <v>884</v>
      </c>
      <c r="B7" s="4" t="s">
        <v>885</v>
      </c>
      <c r="C7" s="4" t="s">
        <v>1185</v>
      </c>
      <c r="D7" s="4" t="s">
        <v>1187</v>
      </c>
      <c r="E7" s="4" t="s">
        <v>1184</v>
      </c>
      <c r="F7" s="4" t="s">
        <v>1184</v>
      </c>
      <c r="G7" s="4" t="s">
        <v>1185</v>
      </c>
      <c r="H7" s="4" t="s">
        <v>1185</v>
      </c>
      <c r="I7" s="4" t="s">
        <v>1185</v>
      </c>
      <c r="J7" s="4" t="s">
        <v>1185</v>
      </c>
      <c r="K7" s="4" t="s">
        <v>1186</v>
      </c>
      <c r="L7" s="4" t="s">
        <v>1189</v>
      </c>
    </row>
    <row r="8" customFormat="false" ht="48" hidden="false" customHeight="true" outlineLevel="0" collapsed="false">
      <c r="A8" s="5" t="s">
        <v>890</v>
      </c>
      <c r="B8" s="5" t="s">
        <v>892</v>
      </c>
      <c r="C8" s="5" t="s">
        <v>1184</v>
      </c>
      <c r="D8" s="5" t="s">
        <v>1184</v>
      </c>
      <c r="E8" s="5" t="s">
        <v>1184</v>
      </c>
      <c r="F8" s="5" t="s">
        <v>1184</v>
      </c>
      <c r="G8" s="5" t="s">
        <v>1185</v>
      </c>
      <c r="H8" s="5" t="s">
        <v>1185</v>
      </c>
      <c r="I8" s="5" t="s">
        <v>1184</v>
      </c>
      <c r="J8" s="5" t="s">
        <v>1185</v>
      </c>
      <c r="K8" s="5" t="s">
        <v>1186</v>
      </c>
      <c r="L8" s="5" t="s">
        <v>894</v>
      </c>
    </row>
    <row r="9" customFormat="false" ht="48" hidden="false" customHeight="true" outlineLevel="0" collapsed="false">
      <c r="A9" s="4" t="s">
        <v>898</v>
      </c>
      <c r="B9" s="4" t="s">
        <v>899</v>
      </c>
      <c r="C9" s="4" t="s">
        <v>1184</v>
      </c>
      <c r="D9" s="4" t="s">
        <v>1184</v>
      </c>
      <c r="E9" s="4" t="s">
        <v>1184</v>
      </c>
      <c r="F9" s="4" t="s">
        <v>1184</v>
      </c>
      <c r="G9" s="4" t="s">
        <v>1185</v>
      </c>
      <c r="H9" s="4" t="s">
        <v>1185</v>
      </c>
      <c r="I9" s="4" t="s">
        <v>1185</v>
      </c>
      <c r="J9" s="4" t="s">
        <v>1185</v>
      </c>
      <c r="K9" s="4" t="s">
        <v>1190</v>
      </c>
      <c r="L9" s="4" t="s">
        <v>901</v>
      </c>
    </row>
    <row r="10" customFormat="false" ht="48" hidden="false" customHeight="true" outlineLevel="0" collapsed="false">
      <c r="A10" s="5" t="s">
        <v>906</v>
      </c>
      <c r="B10" s="5" t="s">
        <v>140</v>
      </c>
      <c r="C10" s="5" t="s">
        <v>1184</v>
      </c>
      <c r="D10" s="5" t="s">
        <v>1184</v>
      </c>
      <c r="E10" s="5" t="s">
        <v>1184</v>
      </c>
      <c r="F10" s="5" t="s">
        <v>1184</v>
      </c>
      <c r="G10" s="5" t="s">
        <v>1184</v>
      </c>
      <c r="H10" s="5" t="s">
        <v>1185</v>
      </c>
      <c r="I10" s="5" t="s">
        <v>1185</v>
      </c>
      <c r="J10" s="5" t="s">
        <v>1185</v>
      </c>
      <c r="K10" s="5" t="s">
        <v>1186</v>
      </c>
      <c r="L10" s="5" t="s">
        <v>872</v>
      </c>
    </row>
    <row r="11" customFormat="false" ht="48" hidden="false" customHeight="true" outlineLevel="0" collapsed="false">
      <c r="A11" s="4" t="s">
        <v>913</v>
      </c>
      <c r="B11" s="4" t="s">
        <v>141</v>
      </c>
      <c r="C11" s="4" t="s">
        <v>1184</v>
      </c>
      <c r="D11" s="4" t="s">
        <v>1184</v>
      </c>
      <c r="E11" s="4" t="s">
        <v>1184</v>
      </c>
      <c r="F11" s="4" t="s">
        <v>1184</v>
      </c>
      <c r="G11" s="4" t="s">
        <v>1185</v>
      </c>
      <c r="H11" s="4" t="s">
        <v>1185</v>
      </c>
      <c r="I11" s="4" t="s">
        <v>1185</v>
      </c>
      <c r="J11" s="4" t="s">
        <v>1185</v>
      </c>
      <c r="K11" s="4" t="s">
        <v>1191</v>
      </c>
      <c r="L11" s="4" t="s">
        <v>915</v>
      </c>
    </row>
    <row r="12" customFormat="false" ht="48" hidden="false" customHeight="true" outlineLevel="0" collapsed="false">
      <c r="A12" s="5" t="s">
        <v>919</v>
      </c>
      <c r="B12" s="5" t="s">
        <v>920</v>
      </c>
      <c r="C12" s="5" t="s">
        <v>1185</v>
      </c>
      <c r="D12" s="5" t="s">
        <v>1184</v>
      </c>
      <c r="E12" s="5" t="s">
        <v>1184</v>
      </c>
      <c r="F12" s="5" t="s">
        <v>1184</v>
      </c>
      <c r="G12" s="5" t="s">
        <v>1184</v>
      </c>
      <c r="H12" s="5" t="s">
        <v>1185</v>
      </c>
      <c r="I12" s="5" t="s">
        <v>1185</v>
      </c>
      <c r="J12" s="5" t="s">
        <v>1185</v>
      </c>
      <c r="K12" s="5" t="s">
        <v>1186</v>
      </c>
      <c r="L12" s="5" t="s">
        <v>922</v>
      </c>
    </row>
    <row r="13" customFormat="false" ht="48" hidden="false" customHeight="true" outlineLevel="0" collapsed="false">
      <c r="A13" s="4" t="s">
        <v>926</v>
      </c>
      <c r="B13" s="4" t="s">
        <v>928</v>
      </c>
      <c r="C13" s="4" t="s">
        <v>1185</v>
      </c>
      <c r="D13" s="4" t="s">
        <v>1184</v>
      </c>
      <c r="E13" s="4" t="s">
        <v>1184</v>
      </c>
      <c r="F13" s="4" t="s">
        <v>1184</v>
      </c>
      <c r="G13" s="4" t="s">
        <v>1184</v>
      </c>
      <c r="H13" s="4" t="s">
        <v>1184</v>
      </c>
      <c r="I13" s="4" t="s">
        <v>1185</v>
      </c>
      <c r="J13" s="4" t="s">
        <v>1185</v>
      </c>
      <c r="K13" s="4" t="s">
        <v>1186</v>
      </c>
      <c r="L13" s="4" t="s">
        <v>930</v>
      </c>
    </row>
    <row r="14" customFormat="false" ht="48" hidden="false" customHeight="true" outlineLevel="0" collapsed="false">
      <c r="A14" s="5" t="s">
        <v>934</v>
      </c>
      <c r="B14" s="5" t="s">
        <v>937</v>
      </c>
      <c r="C14" s="5" t="s">
        <v>1184</v>
      </c>
      <c r="D14" s="5" t="s">
        <v>1184</v>
      </c>
      <c r="E14" s="5" t="s">
        <v>1184</v>
      </c>
      <c r="F14" s="5" t="s">
        <v>1184</v>
      </c>
      <c r="G14" s="5" t="s">
        <v>1185</v>
      </c>
      <c r="H14" s="5" t="s">
        <v>1185</v>
      </c>
      <c r="I14" s="5" t="s">
        <v>1185</v>
      </c>
      <c r="J14" s="5" t="s">
        <v>1185</v>
      </c>
      <c r="K14" s="5" t="s">
        <v>1186</v>
      </c>
      <c r="L14" s="5" t="s">
        <v>939</v>
      </c>
    </row>
    <row r="15" customFormat="false" ht="48" hidden="false" customHeight="true" outlineLevel="0" collapsed="false">
      <c r="A15" s="4" t="s">
        <v>204</v>
      </c>
      <c r="B15" s="4" t="s">
        <v>943</v>
      </c>
      <c r="C15" s="4" t="s">
        <v>1184</v>
      </c>
      <c r="D15" s="4" t="s">
        <v>1184</v>
      </c>
      <c r="E15" s="4" t="s">
        <v>1184</v>
      </c>
      <c r="F15" s="4" t="s">
        <v>1184</v>
      </c>
      <c r="G15" s="4" t="s">
        <v>1185</v>
      </c>
      <c r="H15" s="4" t="s">
        <v>1185</v>
      </c>
      <c r="I15" s="4" t="s">
        <v>1185</v>
      </c>
      <c r="J15" s="4" t="s">
        <v>1185</v>
      </c>
      <c r="K15" s="4" t="s">
        <v>1190</v>
      </c>
      <c r="L15" s="4" t="s">
        <v>945</v>
      </c>
    </row>
    <row r="16" customFormat="false" ht="48" hidden="false" customHeight="true" outlineLevel="0" collapsed="false">
      <c r="A16" s="5" t="s">
        <v>949</v>
      </c>
      <c r="B16" s="5" t="s">
        <v>950</v>
      </c>
      <c r="C16" s="5" t="s">
        <v>1185</v>
      </c>
      <c r="D16" s="5" t="s">
        <v>1184</v>
      </c>
      <c r="E16" s="5" t="s">
        <v>1184</v>
      </c>
      <c r="F16" s="5" t="s">
        <v>1184</v>
      </c>
      <c r="G16" s="5" t="s">
        <v>1184</v>
      </c>
      <c r="H16" s="5" t="s">
        <v>1185</v>
      </c>
      <c r="I16" s="5" t="s">
        <v>1185</v>
      </c>
      <c r="J16" s="5" t="s">
        <v>1185</v>
      </c>
      <c r="K16" s="5" t="s">
        <v>1186</v>
      </c>
      <c r="L16" s="5" t="s">
        <v>922</v>
      </c>
    </row>
    <row r="17" customFormat="false" ht="48" hidden="false" customHeight="true" outlineLevel="0" collapsed="false">
      <c r="A17" s="4" t="s">
        <v>955</v>
      </c>
      <c r="B17" s="4" t="s">
        <v>957</v>
      </c>
      <c r="C17" s="4" t="s">
        <v>1184</v>
      </c>
      <c r="D17" s="4" t="s">
        <v>1184</v>
      </c>
      <c r="E17" s="4" t="s">
        <v>1184</v>
      </c>
      <c r="F17" s="4" t="s">
        <v>1184</v>
      </c>
      <c r="G17" s="4" t="s">
        <v>1185</v>
      </c>
      <c r="H17" s="4" t="s">
        <v>1185</v>
      </c>
      <c r="I17" s="4" t="s">
        <v>1184</v>
      </c>
      <c r="J17" s="4" t="s">
        <v>1185</v>
      </c>
      <c r="K17" s="4" t="s">
        <v>1186</v>
      </c>
      <c r="L17" s="4" t="s">
        <v>959</v>
      </c>
    </row>
    <row r="18" customFormat="false" ht="48" hidden="false" customHeight="true" outlineLevel="0" collapsed="false">
      <c r="A18" s="5" t="s">
        <v>196</v>
      </c>
      <c r="B18" s="5" t="s">
        <v>965</v>
      </c>
      <c r="C18" s="5" t="s">
        <v>1185</v>
      </c>
      <c r="D18" s="5" t="s">
        <v>1192</v>
      </c>
      <c r="E18" s="5" t="s">
        <v>1184</v>
      </c>
      <c r="F18" s="5" t="s">
        <v>1184</v>
      </c>
      <c r="G18" s="5" t="s">
        <v>1184</v>
      </c>
      <c r="H18" s="5" t="s">
        <v>1184</v>
      </c>
      <c r="I18" s="5" t="s">
        <v>1185</v>
      </c>
      <c r="J18" s="5" t="s">
        <v>1185</v>
      </c>
      <c r="K18" s="5" t="s">
        <v>1186</v>
      </c>
      <c r="L18" s="5" t="s">
        <v>1193</v>
      </c>
    </row>
    <row r="19" customFormat="false" ht="48" hidden="false" customHeight="true" outlineLevel="0" collapsed="false">
      <c r="A19" s="4" t="s">
        <v>971</v>
      </c>
      <c r="B19" s="4" t="s">
        <v>973</v>
      </c>
      <c r="C19" s="4" t="s">
        <v>1185</v>
      </c>
      <c r="D19" s="4" t="s">
        <v>1184</v>
      </c>
      <c r="E19" s="4" t="s">
        <v>1184</v>
      </c>
      <c r="F19" s="4" t="s">
        <v>1184</v>
      </c>
      <c r="G19" s="4" t="s">
        <v>1184</v>
      </c>
      <c r="H19" s="4" t="s">
        <v>1184</v>
      </c>
      <c r="I19" s="4" t="s">
        <v>1185</v>
      </c>
      <c r="J19" s="4" t="s">
        <v>1185</v>
      </c>
      <c r="K19" s="4" t="s">
        <v>1186</v>
      </c>
      <c r="L19" s="4" t="s">
        <v>975</v>
      </c>
    </row>
    <row r="20" customFormat="false" ht="48" hidden="false" customHeight="true" outlineLevel="0" collapsed="false">
      <c r="A20" s="5" t="s">
        <v>979</v>
      </c>
      <c r="B20" s="5" t="s">
        <v>980</v>
      </c>
      <c r="C20" s="5" t="s">
        <v>1185</v>
      </c>
      <c r="D20" s="5" t="s">
        <v>1184</v>
      </c>
      <c r="E20" s="5" t="s">
        <v>1184</v>
      </c>
      <c r="F20" s="5" t="s">
        <v>1184</v>
      </c>
      <c r="G20" s="5" t="s">
        <v>1184</v>
      </c>
      <c r="H20" s="5" t="s">
        <v>1185</v>
      </c>
      <c r="I20" s="5" t="s">
        <v>1185</v>
      </c>
      <c r="J20" s="5" t="s">
        <v>1185</v>
      </c>
      <c r="K20" s="5" t="s">
        <v>1186</v>
      </c>
      <c r="L20" s="5" t="s">
        <v>982</v>
      </c>
    </row>
    <row r="21" customFormat="false" ht="48" hidden="false" customHeight="true" outlineLevel="0" collapsed="false">
      <c r="A21" s="4" t="s">
        <v>206</v>
      </c>
      <c r="B21" s="4" t="s">
        <v>988</v>
      </c>
      <c r="C21" s="4" t="s">
        <v>1185</v>
      </c>
      <c r="D21" s="4" t="s">
        <v>1184</v>
      </c>
      <c r="E21" s="4" t="s">
        <v>1184</v>
      </c>
      <c r="F21" s="4" t="s">
        <v>1184</v>
      </c>
      <c r="G21" s="4" t="s">
        <v>1184</v>
      </c>
      <c r="H21" s="4" t="s">
        <v>1185</v>
      </c>
      <c r="I21" s="4" t="s">
        <v>1185</v>
      </c>
      <c r="J21" s="4" t="s">
        <v>1185</v>
      </c>
      <c r="K21" s="4" t="s">
        <v>1186</v>
      </c>
      <c r="L21" s="4" t="s">
        <v>990</v>
      </c>
    </row>
    <row r="22" customFormat="false" ht="48" hidden="false" customHeight="true" outlineLevel="0" collapsed="false">
      <c r="A22" s="5" t="s">
        <v>209</v>
      </c>
      <c r="B22" s="5" t="s">
        <v>146</v>
      </c>
      <c r="C22" s="5" t="s">
        <v>1184</v>
      </c>
      <c r="D22" s="5" t="s">
        <v>1184</v>
      </c>
      <c r="E22" s="5" t="s">
        <v>1185</v>
      </c>
      <c r="F22" s="5" t="s">
        <v>1184</v>
      </c>
      <c r="G22" s="5" t="s">
        <v>1184</v>
      </c>
      <c r="H22" s="5" t="s">
        <v>1185</v>
      </c>
      <c r="I22" s="5" t="s">
        <v>1184</v>
      </c>
      <c r="J22" s="5" t="s">
        <v>1185</v>
      </c>
      <c r="K22" s="5" t="s">
        <v>1186</v>
      </c>
      <c r="L22" s="5" t="s">
        <v>996</v>
      </c>
    </row>
    <row r="23" customFormat="false" ht="48" hidden="false" customHeight="true" outlineLevel="0" collapsed="false">
      <c r="A23" s="4" t="s">
        <v>212</v>
      </c>
      <c r="B23" s="4" t="s">
        <v>1001</v>
      </c>
      <c r="C23" s="4" t="s">
        <v>1185</v>
      </c>
      <c r="D23" s="4" t="s">
        <v>1192</v>
      </c>
      <c r="E23" s="4" t="s">
        <v>1184</v>
      </c>
      <c r="F23" s="4" t="s">
        <v>1184</v>
      </c>
      <c r="G23" s="4" t="s">
        <v>1184</v>
      </c>
      <c r="H23" s="4" t="s">
        <v>1185</v>
      </c>
      <c r="I23" s="4" t="s">
        <v>1185</v>
      </c>
      <c r="J23" s="4" t="s">
        <v>1185</v>
      </c>
      <c r="K23" s="4" t="s">
        <v>1186</v>
      </c>
      <c r="L23" s="4" t="s">
        <v>1194</v>
      </c>
    </row>
    <row r="24" customFormat="false" ht="48" hidden="false" customHeight="true" outlineLevel="0" collapsed="false">
      <c r="A24" s="5" t="s">
        <v>214</v>
      </c>
      <c r="B24" s="5" t="s">
        <v>148</v>
      </c>
      <c r="C24" s="5" t="s">
        <v>1185</v>
      </c>
      <c r="D24" s="5" t="s">
        <v>1192</v>
      </c>
      <c r="E24" s="5" t="s">
        <v>1184</v>
      </c>
      <c r="F24" s="5" t="s">
        <v>1184</v>
      </c>
      <c r="G24" s="5" t="s">
        <v>1184</v>
      </c>
      <c r="H24" s="5" t="s">
        <v>1184</v>
      </c>
      <c r="I24" s="5" t="s">
        <v>1185</v>
      </c>
      <c r="J24" s="5" t="s">
        <v>1185</v>
      </c>
      <c r="K24" s="5" t="s">
        <v>1190</v>
      </c>
      <c r="L24" s="5" t="s">
        <v>1195</v>
      </c>
    </row>
    <row r="25" customFormat="false" ht="48" hidden="false" customHeight="true" outlineLevel="0" collapsed="false">
      <c r="A25" s="4" t="s">
        <v>1013</v>
      </c>
      <c r="B25" s="4" t="s">
        <v>149</v>
      </c>
      <c r="C25" s="4" t="s">
        <v>1185</v>
      </c>
      <c r="D25" s="4" t="s">
        <v>1192</v>
      </c>
      <c r="E25" s="4" t="s">
        <v>1184</v>
      </c>
      <c r="F25" s="4" t="s">
        <v>1184</v>
      </c>
      <c r="G25" s="4" t="s">
        <v>1184</v>
      </c>
      <c r="H25" s="4" t="s">
        <v>1184</v>
      </c>
      <c r="I25" s="4" t="s">
        <v>1185</v>
      </c>
      <c r="J25" s="4" t="s">
        <v>1185</v>
      </c>
      <c r="K25" s="4" t="s">
        <v>1186</v>
      </c>
      <c r="L25" s="4" t="s">
        <v>1196</v>
      </c>
    </row>
    <row r="26" customFormat="false" ht="48" hidden="false" customHeight="true" outlineLevel="0" collapsed="false">
      <c r="A26" s="5" t="s">
        <v>1020</v>
      </c>
      <c r="B26" s="5" t="s">
        <v>1021</v>
      </c>
      <c r="C26" s="5" t="s">
        <v>1185</v>
      </c>
      <c r="D26" s="5" t="s">
        <v>1184</v>
      </c>
      <c r="E26" s="5" t="s">
        <v>1184</v>
      </c>
      <c r="F26" s="5" t="s">
        <v>1184</v>
      </c>
      <c r="G26" s="5" t="s">
        <v>1184</v>
      </c>
      <c r="H26" s="5" t="s">
        <v>1185</v>
      </c>
      <c r="I26" s="5" t="s">
        <v>1185</v>
      </c>
      <c r="J26" s="5" t="s">
        <v>1185</v>
      </c>
      <c r="K26" s="5" t="s">
        <v>1186</v>
      </c>
      <c r="L26" s="5" t="s">
        <v>990</v>
      </c>
    </row>
    <row r="27" customFormat="false" ht="48" hidden="false" customHeight="true" outlineLevel="0" collapsed="false">
      <c r="A27" s="4" t="s">
        <v>217</v>
      </c>
      <c r="B27" s="4" t="s">
        <v>150</v>
      </c>
      <c r="C27" s="4" t="s">
        <v>1185</v>
      </c>
      <c r="D27" s="4" t="s">
        <v>1184</v>
      </c>
      <c r="E27" s="4" t="s">
        <v>1184</v>
      </c>
      <c r="F27" s="4" t="s">
        <v>1184</v>
      </c>
      <c r="G27" s="4" t="s">
        <v>1185</v>
      </c>
      <c r="H27" s="4" t="s">
        <v>1185</v>
      </c>
      <c r="I27" s="4" t="s">
        <v>1185</v>
      </c>
      <c r="J27" s="4" t="s">
        <v>1185</v>
      </c>
      <c r="K27" s="4" t="s">
        <v>1186</v>
      </c>
      <c r="L27" s="4" t="s">
        <v>191</v>
      </c>
    </row>
    <row r="28" customFormat="false" ht="48" hidden="false" customHeight="true" outlineLevel="0" collapsed="false">
      <c r="A28" s="5" t="s">
        <v>220</v>
      </c>
      <c r="B28" s="5" t="s">
        <v>151</v>
      </c>
      <c r="C28" s="5" t="s">
        <v>1185</v>
      </c>
      <c r="D28" s="5" t="s">
        <v>1184</v>
      </c>
      <c r="E28" s="5" t="s">
        <v>1184</v>
      </c>
      <c r="F28" s="5" t="s">
        <v>1184</v>
      </c>
      <c r="G28" s="5" t="s">
        <v>1184</v>
      </c>
      <c r="H28" s="5" t="s">
        <v>1185</v>
      </c>
      <c r="I28" s="5" t="s">
        <v>1185</v>
      </c>
      <c r="J28" s="5" t="s">
        <v>1185</v>
      </c>
      <c r="K28" s="5" t="s">
        <v>1186</v>
      </c>
      <c r="L28" s="5" t="s">
        <v>1032</v>
      </c>
    </row>
    <row r="29" customFormat="false" ht="48" hidden="false" customHeight="true" outlineLevel="0" collapsed="false">
      <c r="A29" s="4" t="s">
        <v>222</v>
      </c>
      <c r="B29" s="4" t="s">
        <v>152</v>
      </c>
      <c r="C29" s="4" t="s">
        <v>1185</v>
      </c>
      <c r="D29" s="4" t="s">
        <v>1185</v>
      </c>
      <c r="E29" s="4" t="s">
        <v>1185</v>
      </c>
      <c r="F29" s="4" t="s">
        <v>1184</v>
      </c>
      <c r="G29" s="4" t="s">
        <v>1184</v>
      </c>
      <c r="H29" s="4" t="s">
        <v>1185</v>
      </c>
      <c r="I29" s="4" t="s">
        <v>1185</v>
      </c>
      <c r="J29" s="4" t="s">
        <v>1185</v>
      </c>
      <c r="K29" s="4" t="s">
        <v>1186</v>
      </c>
      <c r="L29" s="4" t="s">
        <v>1039</v>
      </c>
    </row>
    <row r="30" customFormat="false" ht="48" hidden="false" customHeight="true" outlineLevel="0" collapsed="false">
      <c r="A30" s="5" t="s">
        <v>224</v>
      </c>
      <c r="B30" s="5" t="s">
        <v>153</v>
      </c>
      <c r="C30" s="5" t="s">
        <v>1185</v>
      </c>
      <c r="D30" s="5" t="s">
        <v>1184</v>
      </c>
      <c r="E30" s="5" t="s">
        <v>1184</v>
      </c>
      <c r="F30" s="5" t="s">
        <v>1184</v>
      </c>
      <c r="G30" s="5" t="s">
        <v>1184</v>
      </c>
      <c r="H30" s="5" t="s">
        <v>1185</v>
      </c>
      <c r="I30" s="5" t="s">
        <v>1185</v>
      </c>
      <c r="J30" s="5" t="s">
        <v>1185</v>
      </c>
      <c r="K30" s="5" t="s">
        <v>1186</v>
      </c>
      <c r="L30" s="5" t="s">
        <v>1045</v>
      </c>
    </row>
    <row r="31" customFormat="false" ht="48" hidden="false" customHeight="true" outlineLevel="0" collapsed="false">
      <c r="A31" s="4" t="s">
        <v>227</v>
      </c>
      <c r="B31" s="4" t="s">
        <v>1050</v>
      </c>
      <c r="C31" s="4" t="s">
        <v>1185</v>
      </c>
      <c r="D31" s="4" t="s">
        <v>1184</v>
      </c>
      <c r="E31" s="4" t="s">
        <v>1184</v>
      </c>
      <c r="F31" s="4" t="s">
        <v>1184</v>
      </c>
      <c r="G31" s="4" t="s">
        <v>1184</v>
      </c>
      <c r="H31" s="4" t="s">
        <v>1185</v>
      </c>
      <c r="I31" s="4" t="s">
        <v>1185</v>
      </c>
      <c r="J31" s="4" t="s">
        <v>1185</v>
      </c>
      <c r="K31" s="4" t="s">
        <v>1186</v>
      </c>
      <c r="L31" s="4" t="s">
        <v>1003</v>
      </c>
    </row>
    <row r="32" customFormat="false" ht="48" hidden="false" customHeight="true" outlineLevel="0" collapsed="false">
      <c r="A32" s="5" t="s">
        <v>229</v>
      </c>
      <c r="B32" s="5" t="s">
        <v>155</v>
      </c>
      <c r="C32" s="5" t="s">
        <v>1185</v>
      </c>
      <c r="D32" s="5" t="s">
        <v>1184</v>
      </c>
      <c r="E32" s="5" t="s">
        <v>1184</v>
      </c>
      <c r="F32" s="5" t="s">
        <v>1184</v>
      </c>
      <c r="G32" s="5" t="s">
        <v>1184</v>
      </c>
      <c r="H32" s="5" t="s">
        <v>1185</v>
      </c>
      <c r="I32" s="5" t="s">
        <v>1185</v>
      </c>
      <c r="J32" s="5" t="s">
        <v>1185</v>
      </c>
      <c r="K32" s="5" t="s">
        <v>1186</v>
      </c>
      <c r="L32" s="5" t="s">
        <v>1056</v>
      </c>
    </row>
    <row r="33" customFormat="false" ht="48" hidden="false" customHeight="true" outlineLevel="0" collapsed="false">
      <c r="A33" s="4" t="s">
        <v>232</v>
      </c>
      <c r="B33" s="4" t="s">
        <v>1061</v>
      </c>
      <c r="C33" s="4" t="s">
        <v>1185</v>
      </c>
      <c r="D33" s="4" t="s">
        <v>1184</v>
      </c>
      <c r="E33" s="4" t="s">
        <v>1184</v>
      </c>
      <c r="F33" s="4" t="s">
        <v>1184</v>
      </c>
      <c r="G33" s="4" t="s">
        <v>1184</v>
      </c>
      <c r="H33" s="4" t="s">
        <v>1184</v>
      </c>
      <c r="I33" s="4" t="s">
        <v>1185</v>
      </c>
      <c r="J33" s="4" t="s">
        <v>1185</v>
      </c>
      <c r="K33" s="4" t="s">
        <v>1186</v>
      </c>
      <c r="L33" s="4" t="s">
        <v>930</v>
      </c>
    </row>
    <row r="34" customFormat="false" ht="48" hidden="false" customHeight="true" outlineLevel="0" collapsed="false">
      <c r="A34" s="5" t="s">
        <v>234</v>
      </c>
      <c r="B34" s="5" t="s">
        <v>1066</v>
      </c>
      <c r="C34" s="5" t="s">
        <v>1185</v>
      </c>
      <c r="D34" s="5" t="s">
        <v>1184</v>
      </c>
      <c r="E34" s="5" t="s">
        <v>1184</v>
      </c>
      <c r="F34" s="5" t="s">
        <v>1184</v>
      </c>
      <c r="G34" s="5" t="s">
        <v>1184</v>
      </c>
      <c r="H34" s="5" t="s">
        <v>1185</v>
      </c>
      <c r="I34" s="5" t="s">
        <v>1185</v>
      </c>
      <c r="J34" s="5" t="s">
        <v>1185</v>
      </c>
      <c r="K34" s="5" t="s">
        <v>1186</v>
      </c>
      <c r="L34" s="5" t="s">
        <v>216</v>
      </c>
    </row>
    <row r="35" customFormat="false" ht="48" hidden="false" customHeight="true" outlineLevel="0" collapsed="false">
      <c r="A35" s="4" t="s">
        <v>236</v>
      </c>
      <c r="B35" s="4" t="s">
        <v>1072</v>
      </c>
      <c r="C35" s="4" t="s">
        <v>1184</v>
      </c>
      <c r="D35" s="4" t="s">
        <v>1185</v>
      </c>
      <c r="E35" s="4" t="s">
        <v>1184</v>
      </c>
      <c r="F35" s="4" t="s">
        <v>1184</v>
      </c>
      <c r="G35" s="4" t="s">
        <v>1184</v>
      </c>
      <c r="H35" s="4" t="s">
        <v>1185</v>
      </c>
      <c r="I35" s="4" t="s">
        <v>1185</v>
      </c>
      <c r="J35" s="4" t="s">
        <v>1185</v>
      </c>
      <c r="K35" s="4" t="s">
        <v>1186</v>
      </c>
      <c r="L35" s="4" t="s">
        <v>1197</v>
      </c>
    </row>
    <row r="36" customFormat="false" ht="48" hidden="false" customHeight="true" outlineLevel="0" collapsed="false">
      <c r="A36" s="5" t="s">
        <v>1078</v>
      </c>
      <c r="B36" s="5" t="s">
        <v>1081</v>
      </c>
      <c r="C36" s="5" t="s">
        <v>1184</v>
      </c>
      <c r="D36" s="5" t="s">
        <v>1184</v>
      </c>
      <c r="E36" s="5" t="s">
        <v>1184</v>
      </c>
      <c r="F36" s="5" t="s">
        <v>1184</v>
      </c>
      <c r="G36" s="5" t="s">
        <v>1185</v>
      </c>
      <c r="H36" s="5" t="s">
        <v>1185</v>
      </c>
      <c r="I36" s="5" t="s">
        <v>1184</v>
      </c>
      <c r="J36" s="5" t="s">
        <v>1185</v>
      </c>
      <c r="K36" s="5" t="s">
        <v>1186</v>
      </c>
      <c r="L36" s="5" t="s">
        <v>1083</v>
      </c>
    </row>
    <row r="37" customFormat="false" ht="48" hidden="false" customHeight="true" outlineLevel="0" collapsed="false">
      <c r="A37" s="4" t="s">
        <v>242</v>
      </c>
      <c r="B37" s="4" t="s">
        <v>1087</v>
      </c>
      <c r="C37" s="4" t="s">
        <v>1184</v>
      </c>
      <c r="D37" s="4" t="s">
        <v>1185</v>
      </c>
      <c r="E37" s="4" t="s">
        <v>1185</v>
      </c>
      <c r="F37" s="4" t="s">
        <v>1184</v>
      </c>
      <c r="G37" s="4" t="s">
        <v>1185</v>
      </c>
      <c r="H37" s="4" t="s">
        <v>1185</v>
      </c>
      <c r="I37" s="4" t="s">
        <v>1184</v>
      </c>
      <c r="J37" s="4" t="s">
        <v>1184</v>
      </c>
      <c r="K37" s="4" t="s">
        <v>1186</v>
      </c>
      <c r="L37" s="4" t="s">
        <v>1089</v>
      </c>
    </row>
    <row r="38" customFormat="false" ht="48" hidden="false" customHeight="true" outlineLevel="0" collapsed="false">
      <c r="A38" s="5" t="s">
        <v>1093</v>
      </c>
      <c r="B38" s="5" t="s">
        <v>1095</v>
      </c>
      <c r="C38" s="5" t="s">
        <v>1185</v>
      </c>
      <c r="D38" s="5" t="s">
        <v>1187</v>
      </c>
      <c r="E38" s="5" t="s">
        <v>1184</v>
      </c>
      <c r="F38" s="5" t="s">
        <v>1184</v>
      </c>
      <c r="G38" s="5" t="s">
        <v>1185</v>
      </c>
      <c r="H38" s="5" t="s">
        <v>1184</v>
      </c>
      <c r="I38" s="5" t="s">
        <v>1184</v>
      </c>
      <c r="J38" s="5" t="s">
        <v>1184</v>
      </c>
      <c r="K38" s="5" t="s">
        <v>1186</v>
      </c>
      <c r="L38" s="5" t="s">
        <v>1198</v>
      </c>
    </row>
    <row r="39" customFormat="false" ht="48" hidden="false" customHeight="true" outlineLevel="0" collapsed="false">
      <c r="A39" s="4" t="s">
        <v>1101</v>
      </c>
      <c r="B39" s="4" t="s">
        <v>1102</v>
      </c>
      <c r="C39" s="4" t="s">
        <v>1185</v>
      </c>
      <c r="D39" s="4" t="s">
        <v>1185</v>
      </c>
      <c r="E39" s="4" t="s">
        <v>1185</v>
      </c>
      <c r="F39" s="4" t="s">
        <v>1184</v>
      </c>
      <c r="G39" s="4" t="s">
        <v>1185</v>
      </c>
      <c r="H39" s="4" t="s">
        <v>1184</v>
      </c>
      <c r="I39" s="4" t="s">
        <v>1185</v>
      </c>
      <c r="J39" s="4" t="s">
        <v>1184</v>
      </c>
      <c r="K39" s="4" t="s">
        <v>1191</v>
      </c>
      <c r="L39" s="4" t="s">
        <v>1199</v>
      </c>
    </row>
    <row r="40" customFormat="false" ht="48" hidden="false" customHeight="true" outlineLevel="0" collapsed="false">
      <c r="A40" s="5" t="s">
        <v>246</v>
      </c>
      <c r="B40" s="5" t="s">
        <v>1111</v>
      </c>
      <c r="C40" s="5" t="s">
        <v>1184</v>
      </c>
      <c r="D40" s="5" t="s">
        <v>1185</v>
      </c>
      <c r="E40" s="5" t="s">
        <v>1184</v>
      </c>
      <c r="F40" s="5" t="s">
        <v>1185</v>
      </c>
      <c r="G40" s="5" t="s">
        <v>1184</v>
      </c>
      <c r="H40" s="5" t="s">
        <v>1185</v>
      </c>
      <c r="I40" s="5" t="s">
        <v>1185</v>
      </c>
      <c r="J40" s="5" t="s">
        <v>1185</v>
      </c>
      <c r="K40" s="5" t="s">
        <v>1191</v>
      </c>
      <c r="L40" s="5" t="s">
        <v>247</v>
      </c>
    </row>
    <row r="41" customFormat="false" ht="48" hidden="false" customHeight="true" outlineLevel="0" collapsed="false">
      <c r="A41" s="4" t="s">
        <v>249</v>
      </c>
      <c r="B41" s="4" t="s">
        <v>164</v>
      </c>
      <c r="C41" s="4" t="s">
        <v>1184</v>
      </c>
      <c r="D41" s="4" t="s">
        <v>1184</v>
      </c>
      <c r="E41" s="4" t="s">
        <v>1185</v>
      </c>
      <c r="F41" s="4" t="s">
        <v>1185</v>
      </c>
      <c r="G41" s="4" t="s">
        <v>1184</v>
      </c>
      <c r="H41" s="4" t="s">
        <v>1185</v>
      </c>
      <c r="I41" s="4" t="s">
        <v>1184</v>
      </c>
      <c r="J41" s="4" t="s">
        <v>1185</v>
      </c>
      <c r="K41" s="4" t="s">
        <v>1186</v>
      </c>
      <c r="L41" s="4" t="s">
        <v>1118</v>
      </c>
    </row>
    <row r="42" customFormat="false" ht="48" hidden="false" customHeight="true" outlineLevel="0" collapsed="false">
      <c r="A42" s="5" t="s">
        <v>251</v>
      </c>
      <c r="B42" s="5" t="s">
        <v>165</v>
      </c>
      <c r="C42" s="5" t="s">
        <v>1184</v>
      </c>
      <c r="D42" s="5" t="s">
        <v>1185</v>
      </c>
      <c r="E42" s="5" t="s">
        <v>1185</v>
      </c>
      <c r="F42" s="5" t="s">
        <v>1185</v>
      </c>
      <c r="G42" s="5" t="s">
        <v>1185</v>
      </c>
      <c r="H42" s="5" t="s">
        <v>1185</v>
      </c>
      <c r="I42" s="5" t="s">
        <v>1184</v>
      </c>
      <c r="J42" s="5" t="s">
        <v>1185</v>
      </c>
      <c r="K42" s="5" t="s">
        <v>1186</v>
      </c>
      <c r="L42" s="5" t="s">
        <v>1124</v>
      </c>
    </row>
    <row r="43" customFormat="false" ht="48" hidden="false" customHeight="true" outlineLevel="0" collapsed="false">
      <c r="A43" s="4" t="s">
        <v>253</v>
      </c>
      <c r="B43" s="4" t="s">
        <v>1129</v>
      </c>
      <c r="C43" s="4" t="s">
        <v>1184</v>
      </c>
      <c r="D43" s="4" t="s">
        <v>1185</v>
      </c>
      <c r="E43" s="4" t="s">
        <v>1185</v>
      </c>
      <c r="F43" s="4" t="s">
        <v>1184</v>
      </c>
      <c r="G43" s="4" t="s">
        <v>1185</v>
      </c>
      <c r="H43" s="4" t="s">
        <v>1185</v>
      </c>
      <c r="I43" s="4" t="s">
        <v>1185</v>
      </c>
      <c r="J43" s="4" t="s">
        <v>1185</v>
      </c>
      <c r="K43" s="4" t="s">
        <v>1191</v>
      </c>
      <c r="L43" s="4" t="s">
        <v>1131</v>
      </c>
    </row>
    <row r="44" customFormat="false" ht="48" hidden="false" customHeight="true" outlineLevel="0" collapsed="false">
      <c r="A44" s="5" t="s">
        <v>256</v>
      </c>
      <c r="B44" s="5" t="s">
        <v>1136</v>
      </c>
      <c r="C44" s="5" t="s">
        <v>1184</v>
      </c>
      <c r="D44" s="5" t="s">
        <v>1185</v>
      </c>
      <c r="E44" s="5" t="s">
        <v>1185</v>
      </c>
      <c r="F44" s="5" t="s">
        <v>1185</v>
      </c>
      <c r="G44" s="5" t="s">
        <v>1185</v>
      </c>
      <c r="H44" s="5" t="s">
        <v>1185</v>
      </c>
      <c r="I44" s="5" t="s">
        <v>1185</v>
      </c>
      <c r="J44" s="5" t="s">
        <v>1185</v>
      </c>
      <c r="K44" s="5" t="s">
        <v>1191</v>
      </c>
      <c r="L44" s="5" t="s">
        <v>1200</v>
      </c>
    </row>
    <row r="45" customFormat="false" ht="48" hidden="false" customHeight="true" outlineLevel="0" collapsed="false">
      <c r="A45" s="4" t="s">
        <v>259</v>
      </c>
      <c r="B45" s="4" t="s">
        <v>1144</v>
      </c>
      <c r="C45" s="4" t="s">
        <v>1184</v>
      </c>
      <c r="D45" s="4" t="s">
        <v>1185</v>
      </c>
      <c r="E45" s="4" t="s">
        <v>1184</v>
      </c>
      <c r="F45" s="4" t="s">
        <v>1185</v>
      </c>
      <c r="G45" s="4" t="s">
        <v>1184</v>
      </c>
      <c r="H45" s="4" t="s">
        <v>1185</v>
      </c>
      <c r="I45" s="4" t="s">
        <v>1184</v>
      </c>
      <c r="J45" s="4" t="s">
        <v>1185</v>
      </c>
      <c r="K45" s="4" t="s">
        <v>1186</v>
      </c>
      <c r="L45" s="4" t="s">
        <v>1146</v>
      </c>
    </row>
    <row r="46" customFormat="false" ht="48" hidden="false" customHeight="true" outlineLevel="0" collapsed="false">
      <c r="A46" s="5" t="s">
        <v>261</v>
      </c>
      <c r="B46" s="5" t="s">
        <v>1152</v>
      </c>
      <c r="C46" s="5" t="s">
        <v>1184</v>
      </c>
      <c r="D46" s="5" t="s">
        <v>1184</v>
      </c>
      <c r="E46" s="5" t="s">
        <v>1184</v>
      </c>
      <c r="F46" s="5" t="s">
        <v>1185</v>
      </c>
      <c r="G46" s="5" t="s">
        <v>1184</v>
      </c>
      <c r="H46" s="5" t="s">
        <v>1185</v>
      </c>
      <c r="I46" s="5" t="s">
        <v>1185</v>
      </c>
      <c r="J46" s="5" t="s">
        <v>1185</v>
      </c>
      <c r="K46" s="5" t="s">
        <v>1186</v>
      </c>
      <c r="L46" s="5" t="s">
        <v>1201</v>
      </c>
    </row>
    <row r="47" customFormat="false" ht="48" hidden="false" customHeight="true" outlineLevel="0" collapsed="false">
      <c r="A47" s="4" t="s">
        <v>263</v>
      </c>
      <c r="B47" s="4" t="s">
        <v>170</v>
      </c>
      <c r="C47" s="4" t="s">
        <v>1184</v>
      </c>
      <c r="D47" s="4" t="s">
        <v>1184</v>
      </c>
      <c r="E47" s="4" t="s">
        <v>1185</v>
      </c>
      <c r="F47" s="4" t="s">
        <v>1184</v>
      </c>
      <c r="G47" s="4" t="s">
        <v>1184</v>
      </c>
      <c r="H47" s="4" t="s">
        <v>1185</v>
      </c>
      <c r="I47" s="4" t="s">
        <v>1185</v>
      </c>
      <c r="J47" s="4" t="s">
        <v>1185</v>
      </c>
      <c r="K47" s="4" t="s">
        <v>1191</v>
      </c>
      <c r="L47" s="4" t="s">
        <v>1160</v>
      </c>
    </row>
    <row r="48" customFormat="false" ht="48" hidden="false" customHeight="true" outlineLevel="0" collapsed="false">
      <c r="A48" s="5" t="s">
        <v>265</v>
      </c>
      <c r="B48" s="5" t="s">
        <v>1165</v>
      </c>
      <c r="C48" s="5" t="s">
        <v>1185</v>
      </c>
      <c r="D48" s="5" t="s">
        <v>1184</v>
      </c>
      <c r="E48" s="5" t="s">
        <v>1184</v>
      </c>
      <c r="F48" s="5" t="s">
        <v>1184</v>
      </c>
      <c r="G48" s="5" t="s">
        <v>1184</v>
      </c>
      <c r="H48" s="5" t="s">
        <v>1185</v>
      </c>
      <c r="I48" s="5" t="s">
        <v>1185</v>
      </c>
      <c r="J48" s="5" t="s">
        <v>1185</v>
      </c>
      <c r="K48" s="5" t="s">
        <v>1186</v>
      </c>
      <c r="L48" s="5" t="s">
        <v>990</v>
      </c>
    </row>
    <row r="49" customFormat="false" ht="48" hidden="false" customHeight="true" outlineLevel="0" collapsed="false">
      <c r="A49" s="4" t="s">
        <v>267</v>
      </c>
      <c r="B49" s="4" t="s">
        <v>1171</v>
      </c>
      <c r="C49" s="4" t="s">
        <v>1184</v>
      </c>
      <c r="D49" s="4" t="s">
        <v>1185</v>
      </c>
      <c r="E49" s="4" t="s">
        <v>1185</v>
      </c>
      <c r="F49" s="4" t="s">
        <v>1184</v>
      </c>
      <c r="G49" s="4" t="s">
        <v>1185</v>
      </c>
      <c r="H49" s="4" t="s">
        <v>1185</v>
      </c>
      <c r="I49" s="4" t="s">
        <v>1185</v>
      </c>
      <c r="J49" s="4" t="s">
        <v>1185</v>
      </c>
      <c r="K49" s="4" t="s">
        <v>1191</v>
      </c>
      <c r="L49" s="4" t="s">
        <v>1173</v>
      </c>
    </row>
  </sheetData>
  <autoFilter ref="A4:L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F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96"/>
    <col collapsed="false" customWidth="true" hidden="false" outlineLevel="0" max="4" min="4" style="0" width="18"/>
    <col collapsed="false" customWidth="true" hidden="false" outlineLevel="0" max="6" min="5" style="0" width="56"/>
  </cols>
  <sheetData>
    <row r="1" customFormat="false" ht="17.35" hidden="false" customHeight="false" outlineLevel="0" collapsed="false">
      <c r="A1" s="1" t="s">
        <v>1202</v>
      </c>
    </row>
    <row r="2" customFormat="false" ht="15" hidden="false" customHeight="false" outlineLevel="0" collapsed="false">
      <c r="A2" s="2" t="s">
        <v>1203</v>
      </c>
    </row>
    <row r="4" customFormat="false" ht="30" hidden="false" customHeight="true" outlineLevel="0" collapsed="false">
      <c r="A4" s="3" t="s">
        <v>1204</v>
      </c>
      <c r="B4" s="3" t="s">
        <v>1205</v>
      </c>
      <c r="C4" s="3" t="s">
        <v>1206</v>
      </c>
      <c r="D4" s="3" t="s">
        <v>1207</v>
      </c>
      <c r="E4" s="3" t="s">
        <v>1208</v>
      </c>
      <c r="F4" s="3" t="s">
        <v>1209</v>
      </c>
    </row>
    <row r="5" customFormat="false" ht="55.5" hidden="false" customHeight="true" outlineLevel="0" collapsed="false">
      <c r="A5" s="4" t="n">
        <v>1</v>
      </c>
      <c r="B5" s="4" t="s">
        <v>1210</v>
      </c>
      <c r="C5" s="4" t="s">
        <v>1211</v>
      </c>
      <c r="D5" s="4" t="s">
        <v>1212</v>
      </c>
      <c r="E5" s="4"/>
      <c r="F5" s="4"/>
    </row>
    <row r="6" customFormat="false" ht="55.5" hidden="false" customHeight="true" outlineLevel="0" collapsed="false">
      <c r="A6" s="5" t="n">
        <v>2</v>
      </c>
      <c r="B6" s="5" t="s">
        <v>1210</v>
      </c>
      <c r="C6" s="5" t="s">
        <v>1213</v>
      </c>
      <c r="D6" s="5" t="s">
        <v>1212</v>
      </c>
      <c r="E6" s="5" t="s">
        <v>1214</v>
      </c>
      <c r="F6" s="5"/>
    </row>
    <row r="7" customFormat="false" ht="55.5" hidden="false" customHeight="true" outlineLevel="0" collapsed="false">
      <c r="A7" s="4" t="n">
        <v>3</v>
      </c>
      <c r="B7" s="4" t="s">
        <v>1210</v>
      </c>
      <c r="C7" s="4" t="s">
        <v>1215</v>
      </c>
      <c r="D7" s="4" t="s">
        <v>1212</v>
      </c>
      <c r="E7" s="4"/>
      <c r="F7" s="4"/>
    </row>
    <row r="8" customFormat="false" ht="55.5" hidden="false" customHeight="true" outlineLevel="0" collapsed="false">
      <c r="A8" s="5" t="n">
        <v>4</v>
      </c>
      <c r="B8" s="5" t="s">
        <v>1210</v>
      </c>
      <c r="C8" s="5" t="s">
        <v>1216</v>
      </c>
      <c r="D8" s="5" t="s">
        <v>1212</v>
      </c>
      <c r="E8" s="5"/>
      <c r="F8" s="5"/>
    </row>
    <row r="9" customFormat="false" ht="55.5" hidden="false" customHeight="true" outlineLevel="0" collapsed="false">
      <c r="A9" s="4" t="n">
        <v>5</v>
      </c>
      <c r="B9" s="4" t="s">
        <v>1210</v>
      </c>
      <c r="C9" s="4" t="s">
        <v>1217</v>
      </c>
      <c r="D9" s="4" t="s">
        <v>1212</v>
      </c>
      <c r="E9" s="4"/>
      <c r="F9" s="4"/>
    </row>
    <row r="10" customFormat="false" ht="55.5" hidden="false" customHeight="true" outlineLevel="0" collapsed="false">
      <c r="A10" s="5" t="n">
        <v>6</v>
      </c>
      <c r="B10" s="5" t="s">
        <v>1210</v>
      </c>
      <c r="C10" s="5" t="s">
        <v>1218</v>
      </c>
      <c r="D10" s="5" t="s">
        <v>1212</v>
      </c>
      <c r="E10" s="5" t="s">
        <v>1219</v>
      </c>
      <c r="F10" s="5"/>
    </row>
    <row r="11" customFormat="false" ht="55.5" hidden="false" customHeight="true" outlineLevel="0" collapsed="false">
      <c r="A11" s="4" t="n">
        <v>7</v>
      </c>
      <c r="B11" s="4" t="s">
        <v>1210</v>
      </c>
      <c r="C11" s="4" t="s">
        <v>1220</v>
      </c>
      <c r="D11" s="4" t="s">
        <v>1212</v>
      </c>
      <c r="E11" s="4"/>
      <c r="F11" s="4"/>
    </row>
    <row r="12" customFormat="false" ht="55.5" hidden="false" customHeight="true" outlineLevel="0" collapsed="false">
      <c r="A12" s="5" t="n">
        <v>8</v>
      </c>
      <c r="B12" s="5" t="s">
        <v>1221</v>
      </c>
      <c r="C12" s="5" t="s">
        <v>1222</v>
      </c>
      <c r="D12" s="5" t="s">
        <v>878</v>
      </c>
      <c r="E12" s="5"/>
      <c r="F12" s="5"/>
    </row>
    <row r="13" customFormat="false" ht="55.5" hidden="false" customHeight="true" outlineLevel="0" collapsed="false">
      <c r="A13" s="4" t="n">
        <v>9</v>
      </c>
      <c r="B13" s="4" t="s">
        <v>1221</v>
      </c>
      <c r="C13" s="4" t="s">
        <v>1223</v>
      </c>
      <c r="D13" s="4" t="s">
        <v>878</v>
      </c>
      <c r="E13" s="4" t="s">
        <v>1224</v>
      </c>
      <c r="F13" s="4" t="s">
        <v>1225</v>
      </c>
    </row>
    <row r="14" customFormat="false" ht="55.5" hidden="false" customHeight="true" outlineLevel="0" collapsed="false">
      <c r="A14" s="5" t="n">
        <v>10</v>
      </c>
      <c r="B14" s="5" t="s">
        <v>1221</v>
      </c>
      <c r="C14" s="5" t="s">
        <v>1226</v>
      </c>
      <c r="D14" s="5" t="s">
        <v>878</v>
      </c>
      <c r="E14" s="5"/>
      <c r="F14" s="5"/>
    </row>
    <row r="15" customFormat="false" ht="55.5" hidden="false" customHeight="true" outlineLevel="0" collapsed="false">
      <c r="A15" s="4" t="n">
        <v>11</v>
      </c>
      <c r="B15" s="4" t="s">
        <v>1221</v>
      </c>
      <c r="C15" s="4" t="s">
        <v>1227</v>
      </c>
      <c r="D15" s="4" t="s">
        <v>878</v>
      </c>
      <c r="E15" s="4"/>
      <c r="F15" s="4"/>
    </row>
    <row r="16" customFormat="false" ht="55.5" hidden="false" customHeight="true" outlineLevel="0" collapsed="false">
      <c r="A16" s="5" t="n">
        <v>12</v>
      </c>
      <c r="B16" s="5" t="s">
        <v>1221</v>
      </c>
      <c r="C16" s="5" t="s">
        <v>1228</v>
      </c>
      <c r="D16" s="5" t="s">
        <v>190</v>
      </c>
      <c r="E16" s="5"/>
      <c r="F16" s="5"/>
    </row>
    <row r="17" customFormat="false" ht="55.5" hidden="false" customHeight="true" outlineLevel="0" collapsed="false">
      <c r="A17" s="4" t="n">
        <v>13</v>
      </c>
      <c r="B17" s="4" t="s">
        <v>1221</v>
      </c>
      <c r="C17" s="4" t="s">
        <v>1229</v>
      </c>
      <c r="D17" s="4" t="s">
        <v>884</v>
      </c>
      <c r="E17" s="4" t="s">
        <v>1230</v>
      </c>
      <c r="F17" s="4" t="s">
        <v>1231</v>
      </c>
    </row>
    <row r="18" customFormat="false" ht="55.5" hidden="false" customHeight="true" outlineLevel="0" collapsed="false">
      <c r="A18" s="5" t="n">
        <v>14</v>
      </c>
      <c r="B18" s="5" t="s">
        <v>1221</v>
      </c>
      <c r="C18" s="5" t="s">
        <v>1232</v>
      </c>
      <c r="D18" s="5" t="s">
        <v>884</v>
      </c>
      <c r="E18" s="5"/>
      <c r="F18" s="5"/>
    </row>
    <row r="19" customFormat="false" ht="55.5" hidden="false" customHeight="true" outlineLevel="0" collapsed="false">
      <c r="A19" s="4" t="n">
        <v>15</v>
      </c>
      <c r="B19" s="4" t="s">
        <v>1221</v>
      </c>
      <c r="C19" s="4" t="s">
        <v>1233</v>
      </c>
      <c r="D19" s="4" t="s">
        <v>1234</v>
      </c>
      <c r="E19" s="4"/>
      <c r="F19" s="4"/>
    </row>
    <row r="20" customFormat="false" ht="55.5" hidden="false" customHeight="true" outlineLevel="0" collapsed="false">
      <c r="A20" s="5" t="n">
        <v>16</v>
      </c>
      <c r="B20" s="5" t="s">
        <v>1221</v>
      </c>
      <c r="C20" s="5" t="s">
        <v>1235</v>
      </c>
      <c r="D20" s="5" t="s">
        <v>193</v>
      </c>
      <c r="E20" s="5"/>
      <c r="F20" s="5"/>
    </row>
    <row r="21" customFormat="false" ht="55.5" hidden="false" customHeight="true" outlineLevel="0" collapsed="false">
      <c r="A21" s="4" t="n">
        <v>17</v>
      </c>
      <c r="B21" s="4" t="s">
        <v>1236</v>
      </c>
      <c r="C21" s="4" t="s">
        <v>1237</v>
      </c>
      <c r="D21" s="4" t="s">
        <v>1238</v>
      </c>
      <c r="E21" s="4" t="s">
        <v>1239</v>
      </c>
      <c r="F21" s="4"/>
    </row>
    <row r="22" customFormat="false" ht="55.5" hidden="false" customHeight="true" outlineLevel="0" collapsed="false">
      <c r="A22" s="5" t="n">
        <v>18</v>
      </c>
      <c r="B22" s="5" t="s">
        <v>1236</v>
      </c>
      <c r="C22" s="5" t="s">
        <v>1240</v>
      </c>
      <c r="D22" s="5" t="s">
        <v>971</v>
      </c>
      <c r="E22" s="5"/>
      <c r="F22" s="5"/>
    </row>
    <row r="23" customFormat="false" ht="55.5" hidden="false" customHeight="true" outlineLevel="0" collapsed="false">
      <c r="A23" s="4" t="n">
        <v>19</v>
      </c>
      <c r="B23" s="4" t="s">
        <v>1236</v>
      </c>
      <c r="C23" s="4" t="s">
        <v>1241</v>
      </c>
      <c r="D23" s="4" t="s">
        <v>971</v>
      </c>
      <c r="E23" s="4"/>
      <c r="F23" s="4"/>
    </row>
    <row r="24" customFormat="false" ht="55.5" hidden="false" customHeight="true" outlineLevel="0" collapsed="false">
      <c r="A24" s="5" t="n">
        <v>20</v>
      </c>
      <c r="B24" s="5" t="s">
        <v>1236</v>
      </c>
      <c r="C24" s="5" t="s">
        <v>1242</v>
      </c>
      <c r="D24" s="5" t="s">
        <v>971</v>
      </c>
      <c r="E24" s="5"/>
      <c r="F24" s="5"/>
    </row>
    <row r="25" customFormat="false" ht="55.5" hidden="false" customHeight="true" outlineLevel="0" collapsed="false">
      <c r="A25" s="4" t="n">
        <v>21</v>
      </c>
      <c r="B25" s="4" t="s">
        <v>1236</v>
      </c>
      <c r="C25" s="4" t="s">
        <v>1243</v>
      </c>
      <c r="D25" s="4" t="s">
        <v>971</v>
      </c>
      <c r="E25" s="4"/>
      <c r="F25" s="4"/>
    </row>
    <row r="26" customFormat="false" ht="55.5" hidden="false" customHeight="true" outlineLevel="0" collapsed="false">
      <c r="A26" s="5" t="n">
        <v>22</v>
      </c>
      <c r="B26" s="5" t="s">
        <v>1236</v>
      </c>
      <c r="C26" s="5" t="s">
        <v>1244</v>
      </c>
      <c r="D26" s="5" t="s">
        <v>898</v>
      </c>
      <c r="E26" s="5"/>
      <c r="F26" s="5"/>
    </row>
    <row r="27" customFormat="false" ht="55.5" hidden="false" customHeight="true" outlineLevel="0" collapsed="false">
      <c r="A27" s="4" t="n">
        <v>23</v>
      </c>
      <c r="B27" s="4" t="s">
        <v>1236</v>
      </c>
      <c r="C27" s="4" t="s">
        <v>1245</v>
      </c>
      <c r="D27" s="4" t="s">
        <v>898</v>
      </c>
      <c r="E27" s="4" t="s">
        <v>1246</v>
      </c>
      <c r="F27" s="4"/>
    </row>
    <row r="28" customFormat="false" ht="55.5" hidden="false" customHeight="true" outlineLevel="0" collapsed="false">
      <c r="A28" s="5" t="n">
        <v>24</v>
      </c>
      <c r="B28" s="5" t="s">
        <v>1236</v>
      </c>
      <c r="C28" s="5" t="s">
        <v>1247</v>
      </c>
      <c r="D28" s="5" t="s">
        <v>1248</v>
      </c>
      <c r="E28" s="5"/>
      <c r="F28" s="5"/>
    </row>
    <row r="29" customFormat="false" ht="55.5" hidden="false" customHeight="true" outlineLevel="0" collapsed="false">
      <c r="A29" s="4" t="n">
        <v>25</v>
      </c>
      <c r="B29" s="4" t="s">
        <v>1236</v>
      </c>
      <c r="C29" s="4" t="s">
        <v>1249</v>
      </c>
      <c r="D29" s="4" t="s">
        <v>898</v>
      </c>
      <c r="E29" s="4"/>
      <c r="F29" s="4"/>
    </row>
    <row r="30" customFormat="false" ht="55.5" hidden="false" customHeight="true" outlineLevel="0" collapsed="false">
      <c r="A30" s="5" t="n">
        <v>26</v>
      </c>
      <c r="B30" s="5" t="s">
        <v>1236</v>
      </c>
      <c r="C30" s="5" t="s">
        <v>1250</v>
      </c>
      <c r="D30" s="5" t="s">
        <v>898</v>
      </c>
      <c r="E30" s="5"/>
      <c r="F30" s="5"/>
    </row>
    <row r="31" customFormat="false" ht="55.5" hidden="false" customHeight="true" outlineLevel="0" collapsed="false">
      <c r="A31" s="4" t="n">
        <v>27</v>
      </c>
      <c r="B31" s="4" t="s">
        <v>1236</v>
      </c>
      <c r="C31" s="4" t="s">
        <v>1251</v>
      </c>
      <c r="D31" s="4" t="s">
        <v>1252</v>
      </c>
      <c r="E31" s="4"/>
      <c r="F31" s="4" t="s">
        <v>1253</v>
      </c>
    </row>
    <row r="32" customFormat="false" ht="55.5" hidden="false" customHeight="true" outlineLevel="0" collapsed="false">
      <c r="A32" s="5" t="n">
        <v>28</v>
      </c>
      <c r="B32" s="5" t="s">
        <v>1236</v>
      </c>
      <c r="C32" s="5" t="s">
        <v>1254</v>
      </c>
      <c r="D32" s="5" t="s">
        <v>890</v>
      </c>
      <c r="E32" s="5"/>
      <c r="F32" s="5"/>
    </row>
    <row r="33" customFormat="false" ht="55.5" hidden="false" customHeight="true" outlineLevel="0" collapsed="false">
      <c r="A33" s="4" t="n">
        <v>29</v>
      </c>
      <c r="B33" s="4" t="s">
        <v>1236</v>
      </c>
      <c r="C33" s="4" t="s">
        <v>1255</v>
      </c>
      <c r="D33" s="4" t="s">
        <v>890</v>
      </c>
      <c r="E33" s="4"/>
      <c r="F33" s="4" t="s">
        <v>1256</v>
      </c>
    </row>
    <row r="34" customFormat="false" ht="55.5" hidden="false" customHeight="true" outlineLevel="0" collapsed="false">
      <c r="A34" s="5" t="n">
        <v>30</v>
      </c>
      <c r="B34" s="5" t="s">
        <v>1236</v>
      </c>
      <c r="C34" s="5" t="s">
        <v>1257</v>
      </c>
      <c r="D34" s="5" t="s">
        <v>979</v>
      </c>
      <c r="E34" s="5"/>
      <c r="F34" s="5"/>
    </row>
    <row r="35" customFormat="false" ht="55.5" hidden="false" customHeight="true" outlineLevel="0" collapsed="false">
      <c r="A35" s="4" t="n">
        <v>31</v>
      </c>
      <c r="B35" s="4" t="s">
        <v>1236</v>
      </c>
      <c r="C35" s="4" t="s">
        <v>1258</v>
      </c>
      <c r="D35" s="4" t="s">
        <v>979</v>
      </c>
      <c r="E35" s="4"/>
      <c r="F35" s="4"/>
    </row>
    <row r="36" customFormat="false" ht="55.5" hidden="false" customHeight="true" outlineLevel="0" collapsed="false">
      <c r="A36" s="5" t="n">
        <v>32</v>
      </c>
      <c r="B36" s="5" t="s">
        <v>1259</v>
      </c>
      <c r="C36" s="5" t="s">
        <v>1260</v>
      </c>
      <c r="D36" s="5" t="s">
        <v>906</v>
      </c>
      <c r="E36" s="5" t="s">
        <v>1261</v>
      </c>
      <c r="F36" s="5"/>
    </row>
    <row r="37" customFormat="false" ht="55.5" hidden="false" customHeight="true" outlineLevel="0" collapsed="false">
      <c r="A37" s="4" t="n">
        <v>33</v>
      </c>
      <c r="B37" s="4" t="s">
        <v>1259</v>
      </c>
      <c r="C37" s="4" t="s">
        <v>1262</v>
      </c>
      <c r="D37" s="4" t="s">
        <v>200</v>
      </c>
      <c r="E37" s="4"/>
      <c r="F37" s="4"/>
    </row>
    <row r="38" customFormat="false" ht="55.5" hidden="false" customHeight="true" outlineLevel="0" collapsed="false">
      <c r="A38" s="5" t="n">
        <v>34</v>
      </c>
      <c r="B38" s="5" t="s">
        <v>1259</v>
      </c>
      <c r="C38" s="5" t="s">
        <v>1263</v>
      </c>
      <c r="D38" s="5" t="s">
        <v>955</v>
      </c>
      <c r="E38" s="5"/>
      <c r="F38" s="5"/>
    </row>
    <row r="39" customFormat="false" ht="55.5" hidden="false" customHeight="true" outlineLevel="0" collapsed="false">
      <c r="A39" s="4" t="n">
        <v>35</v>
      </c>
      <c r="B39" s="4" t="s">
        <v>1259</v>
      </c>
      <c r="C39" s="4" t="s">
        <v>1264</v>
      </c>
      <c r="D39" s="4" t="s">
        <v>906</v>
      </c>
      <c r="E39" s="4"/>
      <c r="F39" s="4"/>
    </row>
    <row r="40" customFormat="false" ht="55.5" hidden="false" customHeight="true" outlineLevel="0" collapsed="false">
      <c r="A40" s="5" t="n">
        <v>36</v>
      </c>
      <c r="B40" s="5" t="s">
        <v>1259</v>
      </c>
      <c r="C40" s="5" t="s">
        <v>1265</v>
      </c>
      <c r="D40" s="5" t="s">
        <v>913</v>
      </c>
      <c r="E40" s="5" t="s">
        <v>1266</v>
      </c>
      <c r="F40" s="5"/>
    </row>
    <row r="41" customFormat="false" ht="55.5" hidden="false" customHeight="true" outlineLevel="0" collapsed="false">
      <c r="A41" s="4" t="n">
        <v>37</v>
      </c>
      <c r="B41" s="4" t="s">
        <v>1259</v>
      </c>
      <c r="C41" s="4" t="s">
        <v>1267</v>
      </c>
      <c r="D41" s="4" t="s">
        <v>913</v>
      </c>
      <c r="E41" s="4"/>
      <c r="F41" s="4" t="s">
        <v>1268</v>
      </c>
    </row>
    <row r="42" customFormat="false" ht="55.5" hidden="false" customHeight="true" outlineLevel="0" collapsed="false">
      <c r="A42" s="5" t="n">
        <v>38</v>
      </c>
      <c r="B42" s="5" t="s">
        <v>1259</v>
      </c>
      <c r="C42" s="5" t="s">
        <v>1269</v>
      </c>
      <c r="D42" s="5" t="s">
        <v>919</v>
      </c>
      <c r="E42" s="5"/>
      <c r="F42" s="5"/>
    </row>
    <row r="43" customFormat="false" ht="55.5" hidden="false" customHeight="true" outlineLevel="0" collapsed="false">
      <c r="A43" s="4" t="n">
        <v>39</v>
      </c>
      <c r="B43" s="4" t="s">
        <v>1259</v>
      </c>
      <c r="C43" s="4" t="s">
        <v>1270</v>
      </c>
      <c r="D43" s="4" t="s">
        <v>919</v>
      </c>
      <c r="E43" s="4" t="s">
        <v>1271</v>
      </c>
      <c r="F43" s="4"/>
    </row>
    <row r="44" customFormat="false" ht="55.5" hidden="false" customHeight="true" outlineLevel="0" collapsed="false">
      <c r="A44" s="5" t="n">
        <v>40</v>
      </c>
      <c r="B44" s="5" t="s">
        <v>1259</v>
      </c>
      <c r="C44" s="5" t="s">
        <v>1272</v>
      </c>
      <c r="D44" s="5" t="s">
        <v>926</v>
      </c>
      <c r="E44" s="5"/>
      <c r="F44" s="5"/>
    </row>
    <row r="45" customFormat="false" ht="55.5" hidden="false" customHeight="true" outlineLevel="0" collapsed="false">
      <c r="A45" s="4" t="n">
        <v>41</v>
      </c>
      <c r="B45" s="4" t="s">
        <v>1259</v>
      </c>
      <c r="C45" s="4" t="s">
        <v>1273</v>
      </c>
      <c r="D45" s="4" t="s">
        <v>926</v>
      </c>
      <c r="E45" s="4"/>
      <c r="F45" s="4"/>
    </row>
    <row r="46" customFormat="false" ht="55.5" hidden="false" customHeight="true" outlineLevel="0" collapsed="false">
      <c r="A46" s="5" t="n">
        <v>42</v>
      </c>
      <c r="B46" s="5" t="s">
        <v>1259</v>
      </c>
      <c r="C46" s="5" t="s">
        <v>1274</v>
      </c>
      <c r="D46" s="5" t="s">
        <v>926</v>
      </c>
      <c r="E46" s="5" t="s">
        <v>1275</v>
      </c>
      <c r="F46" s="5"/>
    </row>
    <row r="47" customFormat="false" ht="55.5" hidden="false" customHeight="true" outlineLevel="0" collapsed="false">
      <c r="A47" s="4" t="n">
        <v>43</v>
      </c>
      <c r="B47" s="4" t="s">
        <v>1276</v>
      </c>
      <c r="C47" s="4" t="s">
        <v>1277</v>
      </c>
      <c r="D47" s="4" t="s">
        <v>934</v>
      </c>
      <c r="E47" s="4" t="s">
        <v>1278</v>
      </c>
      <c r="F47" s="4"/>
    </row>
    <row r="48" customFormat="false" ht="55.5" hidden="false" customHeight="true" outlineLevel="0" collapsed="false">
      <c r="A48" s="5" t="n">
        <v>44</v>
      </c>
      <c r="B48" s="5" t="s">
        <v>1276</v>
      </c>
      <c r="C48" s="5" t="s">
        <v>1279</v>
      </c>
      <c r="D48" s="5" t="s">
        <v>934</v>
      </c>
      <c r="E48" s="5"/>
      <c r="F48" s="5"/>
    </row>
    <row r="49" customFormat="false" ht="55.5" hidden="false" customHeight="true" outlineLevel="0" collapsed="false">
      <c r="A49" s="4" t="n">
        <v>45</v>
      </c>
      <c r="B49" s="4" t="s">
        <v>1276</v>
      </c>
      <c r="C49" s="4" t="s">
        <v>1280</v>
      </c>
      <c r="D49" s="4" t="s">
        <v>204</v>
      </c>
      <c r="E49" s="4"/>
      <c r="F49" s="4"/>
    </row>
    <row r="50" customFormat="false" ht="55.5" hidden="false" customHeight="true" outlineLevel="0" collapsed="false">
      <c r="A50" s="5" t="n">
        <v>46</v>
      </c>
      <c r="B50" s="5" t="s">
        <v>1276</v>
      </c>
      <c r="C50" s="5" t="s">
        <v>1281</v>
      </c>
      <c r="D50" s="5" t="s">
        <v>204</v>
      </c>
      <c r="E50" s="5"/>
      <c r="F50" s="5"/>
    </row>
    <row r="51" customFormat="false" ht="55.5" hidden="false" customHeight="true" outlineLevel="0" collapsed="false">
      <c r="A51" s="4" t="n">
        <v>47</v>
      </c>
      <c r="B51" s="4" t="s">
        <v>1276</v>
      </c>
      <c r="C51" s="4" t="s">
        <v>1282</v>
      </c>
      <c r="D51" s="4" t="s">
        <v>1283</v>
      </c>
      <c r="E51" s="4"/>
      <c r="F51" s="4" t="s">
        <v>1284</v>
      </c>
    </row>
    <row r="52" customFormat="false" ht="55.5" hidden="false" customHeight="true" outlineLevel="0" collapsed="false">
      <c r="A52" s="5" t="n">
        <v>48</v>
      </c>
      <c r="B52" s="5" t="s">
        <v>1276</v>
      </c>
      <c r="C52" s="5" t="s">
        <v>1285</v>
      </c>
      <c r="D52" s="5" t="s">
        <v>949</v>
      </c>
      <c r="E52" s="5" t="s">
        <v>1286</v>
      </c>
      <c r="F52" s="5"/>
    </row>
    <row r="53" customFormat="false" ht="55.5" hidden="false" customHeight="true" outlineLevel="0" collapsed="false">
      <c r="A53" s="4" t="n">
        <v>49</v>
      </c>
      <c r="B53" s="4" t="s">
        <v>1276</v>
      </c>
      <c r="C53" s="4" t="s">
        <v>1287</v>
      </c>
      <c r="D53" s="4" t="s">
        <v>949</v>
      </c>
      <c r="E53" s="4"/>
      <c r="F53" s="4"/>
    </row>
    <row r="54" customFormat="false" ht="55.5" hidden="false" customHeight="true" outlineLevel="0" collapsed="false">
      <c r="A54" s="5" t="n">
        <v>50</v>
      </c>
      <c r="B54" s="5" t="s">
        <v>1288</v>
      </c>
      <c r="C54" s="5" t="s">
        <v>1289</v>
      </c>
      <c r="D54" s="5" t="s">
        <v>196</v>
      </c>
      <c r="E54" s="5" t="s">
        <v>1290</v>
      </c>
      <c r="F54" s="5"/>
    </row>
    <row r="55" customFormat="false" ht="55.5" hidden="false" customHeight="true" outlineLevel="0" collapsed="false">
      <c r="A55" s="4" t="n">
        <v>51</v>
      </c>
      <c r="B55" s="4" t="s">
        <v>1288</v>
      </c>
      <c r="C55" s="4" t="s">
        <v>1291</v>
      </c>
      <c r="D55" s="4" t="s">
        <v>196</v>
      </c>
      <c r="E55" s="4"/>
      <c r="F55" s="4"/>
    </row>
    <row r="56" customFormat="false" ht="55.5" hidden="false" customHeight="true" outlineLevel="0" collapsed="false">
      <c r="A56" s="5" t="n">
        <v>52</v>
      </c>
      <c r="B56" s="5" t="s">
        <v>1288</v>
      </c>
      <c r="C56" s="5" t="s">
        <v>1292</v>
      </c>
      <c r="D56" s="5" t="s">
        <v>196</v>
      </c>
      <c r="E56" s="5"/>
      <c r="F56" s="5"/>
    </row>
    <row r="57" customFormat="false" ht="55.5" hidden="false" customHeight="true" outlineLevel="0" collapsed="false">
      <c r="A57" s="4" t="n">
        <v>53</v>
      </c>
      <c r="B57" s="4" t="s">
        <v>1288</v>
      </c>
      <c r="C57" s="4" t="s">
        <v>1293</v>
      </c>
      <c r="D57" s="4" t="s">
        <v>196</v>
      </c>
      <c r="E57" s="4"/>
      <c r="F57" s="4"/>
    </row>
    <row r="58" customFormat="false" ht="55.5" hidden="false" customHeight="true" outlineLevel="0" collapsed="false">
      <c r="A58" s="5" t="n">
        <v>54</v>
      </c>
      <c r="B58" s="5" t="s">
        <v>1288</v>
      </c>
      <c r="C58" s="5" t="s">
        <v>1294</v>
      </c>
      <c r="D58" s="5" t="s">
        <v>196</v>
      </c>
      <c r="E58" s="5"/>
      <c r="F58" s="5" t="s">
        <v>1295</v>
      </c>
    </row>
    <row r="59" customFormat="false" ht="55.5" hidden="false" customHeight="true" outlineLevel="0" collapsed="false">
      <c r="A59" s="4" t="n">
        <v>55</v>
      </c>
      <c r="B59" s="4" t="s">
        <v>1296</v>
      </c>
      <c r="C59" s="4" t="s">
        <v>1297</v>
      </c>
      <c r="D59" s="4" t="s">
        <v>206</v>
      </c>
      <c r="E59" s="4" t="s">
        <v>1298</v>
      </c>
      <c r="F59" s="4"/>
    </row>
    <row r="60" customFormat="false" ht="55.5" hidden="false" customHeight="true" outlineLevel="0" collapsed="false">
      <c r="A60" s="5" t="n">
        <v>56</v>
      </c>
      <c r="B60" s="5" t="s">
        <v>1296</v>
      </c>
      <c r="C60" s="5" t="s">
        <v>1299</v>
      </c>
      <c r="D60" s="5" t="s">
        <v>206</v>
      </c>
      <c r="E60" s="5"/>
      <c r="F60" s="5"/>
    </row>
    <row r="61" customFormat="false" ht="55.5" hidden="false" customHeight="true" outlineLevel="0" collapsed="false">
      <c r="A61" s="4" t="n">
        <v>57</v>
      </c>
      <c r="B61" s="4" t="s">
        <v>1296</v>
      </c>
      <c r="C61" s="4" t="s">
        <v>1300</v>
      </c>
      <c r="D61" s="4" t="s">
        <v>206</v>
      </c>
      <c r="E61" s="4"/>
      <c r="F61" s="4"/>
    </row>
    <row r="62" customFormat="false" ht="55.5" hidden="false" customHeight="true" outlineLevel="0" collapsed="false">
      <c r="A62" s="5" t="n">
        <v>58</v>
      </c>
      <c r="B62" s="5" t="s">
        <v>1296</v>
      </c>
      <c r="C62" s="5" t="s">
        <v>1301</v>
      </c>
      <c r="D62" s="5" t="s">
        <v>206</v>
      </c>
      <c r="E62" s="5"/>
      <c r="F62" s="5"/>
    </row>
    <row r="63" customFormat="false" ht="55.5" hidden="false" customHeight="true" outlineLevel="0" collapsed="false">
      <c r="A63" s="4" t="n">
        <v>59</v>
      </c>
      <c r="B63" s="4" t="s">
        <v>1296</v>
      </c>
      <c r="C63" s="4" t="s">
        <v>1302</v>
      </c>
      <c r="D63" s="4" t="s">
        <v>209</v>
      </c>
      <c r="E63" s="4" t="s">
        <v>1303</v>
      </c>
      <c r="F63" s="4"/>
    </row>
    <row r="64" customFormat="false" ht="55.5" hidden="false" customHeight="true" outlineLevel="0" collapsed="false">
      <c r="A64" s="5" t="n">
        <v>60</v>
      </c>
      <c r="B64" s="5" t="s">
        <v>1296</v>
      </c>
      <c r="C64" s="5" t="s">
        <v>1304</v>
      </c>
      <c r="D64" s="5" t="s">
        <v>209</v>
      </c>
      <c r="E64" s="5"/>
      <c r="F64" s="5"/>
    </row>
    <row r="65" customFormat="false" ht="55.5" hidden="false" customHeight="true" outlineLevel="0" collapsed="false">
      <c r="A65" s="4" t="n">
        <v>61</v>
      </c>
      <c r="B65" s="4" t="s">
        <v>1296</v>
      </c>
      <c r="C65" s="4" t="s">
        <v>1305</v>
      </c>
      <c r="D65" s="4" t="s">
        <v>209</v>
      </c>
      <c r="E65" s="4"/>
      <c r="F65" s="4"/>
    </row>
    <row r="66" customFormat="false" ht="55.5" hidden="false" customHeight="true" outlineLevel="0" collapsed="false">
      <c r="A66" s="5" t="n">
        <v>62</v>
      </c>
      <c r="B66" s="5" t="s">
        <v>1296</v>
      </c>
      <c r="C66" s="5" t="s">
        <v>1306</v>
      </c>
      <c r="D66" s="5" t="s">
        <v>1307</v>
      </c>
      <c r="E66" s="5"/>
      <c r="F66" s="5"/>
    </row>
    <row r="67" customFormat="false" ht="55.5" hidden="false" customHeight="true" outlineLevel="0" collapsed="false">
      <c r="A67" s="4" t="n">
        <v>63</v>
      </c>
      <c r="B67" s="4" t="s">
        <v>1296</v>
      </c>
      <c r="C67" s="4" t="s">
        <v>1308</v>
      </c>
      <c r="D67" s="4" t="s">
        <v>212</v>
      </c>
      <c r="E67" s="4" t="s">
        <v>1309</v>
      </c>
      <c r="F67" s="4"/>
    </row>
    <row r="68" customFormat="false" ht="55.5" hidden="false" customHeight="true" outlineLevel="0" collapsed="false">
      <c r="A68" s="5" t="n">
        <v>64</v>
      </c>
      <c r="B68" s="5" t="s">
        <v>1296</v>
      </c>
      <c r="C68" s="5" t="s">
        <v>1310</v>
      </c>
      <c r="D68" s="5" t="s">
        <v>212</v>
      </c>
      <c r="E68" s="5"/>
      <c r="F68" s="5"/>
    </row>
    <row r="69" customFormat="false" ht="55.5" hidden="false" customHeight="true" outlineLevel="0" collapsed="false">
      <c r="A69" s="4" t="n">
        <v>65</v>
      </c>
      <c r="B69" s="4" t="s">
        <v>1311</v>
      </c>
      <c r="C69" s="4" t="s">
        <v>1312</v>
      </c>
      <c r="D69" s="4" t="s">
        <v>214</v>
      </c>
      <c r="E69" s="4"/>
      <c r="F69" s="4"/>
    </row>
    <row r="70" customFormat="false" ht="55.5" hidden="false" customHeight="true" outlineLevel="0" collapsed="false">
      <c r="A70" s="5" t="n">
        <v>66</v>
      </c>
      <c r="B70" s="5" t="s">
        <v>1311</v>
      </c>
      <c r="C70" s="5" t="s">
        <v>1313</v>
      </c>
      <c r="D70" s="5" t="s">
        <v>214</v>
      </c>
      <c r="E70" s="5"/>
      <c r="F70" s="5"/>
    </row>
    <row r="71" customFormat="false" ht="55.5" hidden="false" customHeight="true" outlineLevel="0" collapsed="false">
      <c r="A71" s="4" t="n">
        <v>67</v>
      </c>
      <c r="B71" s="4" t="s">
        <v>1311</v>
      </c>
      <c r="C71" s="4" t="s">
        <v>1314</v>
      </c>
      <c r="D71" s="4" t="s">
        <v>214</v>
      </c>
      <c r="E71" s="4" t="s">
        <v>1315</v>
      </c>
      <c r="F71" s="4"/>
    </row>
    <row r="72" customFormat="false" ht="55.5" hidden="false" customHeight="true" outlineLevel="0" collapsed="false">
      <c r="A72" s="5" t="n">
        <v>68</v>
      </c>
      <c r="B72" s="5" t="s">
        <v>1311</v>
      </c>
      <c r="C72" s="5" t="s">
        <v>1316</v>
      </c>
      <c r="D72" s="5" t="s">
        <v>1020</v>
      </c>
      <c r="E72" s="5" t="s">
        <v>1317</v>
      </c>
      <c r="F72" s="5"/>
    </row>
    <row r="73" customFormat="false" ht="55.5" hidden="false" customHeight="true" outlineLevel="0" collapsed="false">
      <c r="A73" s="4" t="n">
        <v>69</v>
      </c>
      <c r="B73" s="4" t="s">
        <v>1311</v>
      </c>
      <c r="C73" s="4" t="s">
        <v>1318</v>
      </c>
      <c r="D73" s="4" t="s">
        <v>1020</v>
      </c>
      <c r="E73" s="4"/>
      <c r="F73" s="4"/>
    </row>
    <row r="74" customFormat="false" ht="55.5" hidden="false" customHeight="true" outlineLevel="0" collapsed="false">
      <c r="A74" s="5" t="n">
        <v>70</v>
      </c>
      <c r="B74" s="5" t="s">
        <v>1311</v>
      </c>
      <c r="C74" s="5" t="s">
        <v>1319</v>
      </c>
      <c r="D74" s="5" t="s">
        <v>1320</v>
      </c>
      <c r="E74" s="5"/>
      <c r="F74" s="5"/>
    </row>
    <row r="75" customFormat="false" ht="55.5" hidden="false" customHeight="true" outlineLevel="0" collapsed="false">
      <c r="A75" s="4" t="n">
        <v>71</v>
      </c>
      <c r="B75" s="4" t="s">
        <v>1311</v>
      </c>
      <c r="C75" s="4" t="s">
        <v>1321</v>
      </c>
      <c r="D75" s="4" t="s">
        <v>1020</v>
      </c>
      <c r="E75" s="4"/>
      <c r="F75" s="4" t="s">
        <v>1322</v>
      </c>
    </row>
    <row r="76" customFormat="false" ht="55.5" hidden="false" customHeight="true" outlineLevel="0" collapsed="false">
      <c r="A76" s="5" t="n">
        <v>72</v>
      </c>
      <c r="B76" s="5" t="s">
        <v>1311</v>
      </c>
      <c r="C76" s="5" t="s">
        <v>1323</v>
      </c>
      <c r="D76" s="5" t="s">
        <v>217</v>
      </c>
      <c r="E76" s="5" t="s">
        <v>1324</v>
      </c>
      <c r="F76" s="5"/>
    </row>
    <row r="77" customFormat="false" ht="55.5" hidden="false" customHeight="true" outlineLevel="0" collapsed="false">
      <c r="A77" s="4" t="n">
        <v>73</v>
      </c>
      <c r="B77" s="4" t="s">
        <v>1311</v>
      </c>
      <c r="C77" s="4" t="s">
        <v>1325</v>
      </c>
      <c r="D77" s="4" t="s">
        <v>217</v>
      </c>
      <c r="E77" s="4"/>
      <c r="F77" s="4"/>
    </row>
    <row r="78" customFormat="false" ht="55.5" hidden="false" customHeight="true" outlineLevel="0" collapsed="false">
      <c r="A78" s="5" t="n">
        <v>74</v>
      </c>
      <c r="B78" s="5" t="s">
        <v>1311</v>
      </c>
      <c r="C78" s="5" t="s">
        <v>1326</v>
      </c>
      <c r="D78" s="5" t="s">
        <v>1327</v>
      </c>
      <c r="E78" s="5"/>
      <c r="F78" s="5"/>
    </row>
    <row r="79" customFormat="false" ht="55.5" hidden="false" customHeight="true" outlineLevel="0" collapsed="false">
      <c r="A79" s="4" t="n">
        <v>75</v>
      </c>
      <c r="B79" s="4" t="s">
        <v>1311</v>
      </c>
      <c r="C79" s="4" t="s">
        <v>1328</v>
      </c>
      <c r="D79" s="4" t="s">
        <v>1329</v>
      </c>
      <c r="E79" s="4"/>
      <c r="F79" s="4"/>
    </row>
    <row r="80" customFormat="false" ht="55.5" hidden="false" customHeight="true" outlineLevel="0" collapsed="false">
      <c r="A80" s="5" t="n">
        <v>76</v>
      </c>
      <c r="B80" s="5" t="s">
        <v>1311</v>
      </c>
      <c r="C80" s="5" t="s">
        <v>1330</v>
      </c>
      <c r="D80" s="5" t="s">
        <v>220</v>
      </c>
      <c r="E80" s="5"/>
      <c r="F80" s="5"/>
    </row>
    <row r="81" customFormat="false" ht="55.5" hidden="false" customHeight="true" outlineLevel="0" collapsed="false">
      <c r="A81" s="4" t="n">
        <v>77</v>
      </c>
      <c r="B81" s="4" t="s">
        <v>1311</v>
      </c>
      <c r="C81" s="4" t="s">
        <v>1331</v>
      </c>
      <c r="D81" s="4" t="s">
        <v>220</v>
      </c>
      <c r="E81" s="4" t="s">
        <v>1332</v>
      </c>
      <c r="F81" s="4"/>
    </row>
    <row r="82" customFormat="false" ht="55.5" hidden="false" customHeight="true" outlineLevel="0" collapsed="false">
      <c r="A82" s="5" t="n">
        <v>78</v>
      </c>
      <c r="B82" s="5" t="s">
        <v>1311</v>
      </c>
      <c r="C82" s="5" t="s">
        <v>1333</v>
      </c>
      <c r="D82" s="5" t="s">
        <v>1334</v>
      </c>
      <c r="E82" s="5"/>
      <c r="F82" s="5"/>
    </row>
    <row r="83" customFormat="false" ht="55.5" hidden="false" customHeight="true" outlineLevel="0" collapsed="false">
      <c r="A83" s="4" t="n">
        <v>79</v>
      </c>
      <c r="B83" s="4" t="s">
        <v>1335</v>
      </c>
      <c r="C83" s="4" t="s">
        <v>1336</v>
      </c>
      <c r="D83" s="4" t="s">
        <v>222</v>
      </c>
      <c r="E83" s="4"/>
      <c r="F83" s="4"/>
    </row>
    <row r="84" customFormat="false" ht="55.5" hidden="false" customHeight="true" outlineLevel="0" collapsed="false">
      <c r="A84" s="5" t="n">
        <v>80</v>
      </c>
      <c r="B84" s="5" t="s">
        <v>1335</v>
      </c>
      <c r="C84" s="5" t="s">
        <v>1337</v>
      </c>
      <c r="D84" s="5" t="s">
        <v>222</v>
      </c>
      <c r="E84" s="5" t="s">
        <v>1338</v>
      </c>
      <c r="F84" s="5"/>
    </row>
    <row r="85" customFormat="false" ht="55.5" hidden="false" customHeight="true" outlineLevel="0" collapsed="false">
      <c r="A85" s="4" t="n">
        <v>81</v>
      </c>
      <c r="B85" s="4" t="s">
        <v>1335</v>
      </c>
      <c r="C85" s="4" t="s">
        <v>1339</v>
      </c>
      <c r="D85" s="4" t="s">
        <v>224</v>
      </c>
      <c r="E85" s="4"/>
      <c r="F85" s="4"/>
    </row>
    <row r="86" customFormat="false" ht="55.5" hidden="false" customHeight="true" outlineLevel="0" collapsed="false">
      <c r="A86" s="5" t="n">
        <v>82</v>
      </c>
      <c r="B86" s="5" t="s">
        <v>1335</v>
      </c>
      <c r="C86" s="5" t="s">
        <v>1340</v>
      </c>
      <c r="D86" s="5" t="s">
        <v>224</v>
      </c>
      <c r="E86" s="5" t="s">
        <v>1341</v>
      </c>
      <c r="F86" s="5"/>
    </row>
    <row r="87" customFormat="false" ht="55.5" hidden="false" customHeight="true" outlineLevel="0" collapsed="false">
      <c r="A87" s="4" t="n">
        <v>83</v>
      </c>
      <c r="B87" s="4" t="s">
        <v>1335</v>
      </c>
      <c r="C87" s="4" t="s">
        <v>1342</v>
      </c>
      <c r="D87" s="4" t="s">
        <v>227</v>
      </c>
      <c r="E87" s="4" t="s">
        <v>1343</v>
      </c>
      <c r="F87" s="4"/>
    </row>
    <row r="88" customFormat="false" ht="55.5" hidden="false" customHeight="true" outlineLevel="0" collapsed="false">
      <c r="A88" s="5" t="n">
        <v>84</v>
      </c>
      <c r="B88" s="5" t="s">
        <v>1335</v>
      </c>
      <c r="C88" s="5" t="s">
        <v>1344</v>
      </c>
      <c r="D88" s="5" t="s">
        <v>227</v>
      </c>
      <c r="E88" s="5"/>
      <c r="F88" s="5"/>
    </row>
    <row r="89" customFormat="false" ht="55.5" hidden="false" customHeight="true" outlineLevel="0" collapsed="false">
      <c r="A89" s="4" t="n">
        <v>85</v>
      </c>
      <c r="B89" s="4" t="s">
        <v>1335</v>
      </c>
      <c r="C89" s="4" t="s">
        <v>1345</v>
      </c>
      <c r="D89" s="4" t="s">
        <v>229</v>
      </c>
      <c r="E89" s="4" t="s">
        <v>1346</v>
      </c>
      <c r="F89" s="4"/>
    </row>
    <row r="90" customFormat="false" ht="55.5" hidden="false" customHeight="true" outlineLevel="0" collapsed="false">
      <c r="A90" s="5" t="n">
        <v>86</v>
      </c>
      <c r="B90" s="5" t="s">
        <v>1335</v>
      </c>
      <c r="C90" s="5" t="s">
        <v>1347</v>
      </c>
      <c r="D90" s="5" t="s">
        <v>229</v>
      </c>
      <c r="E90" s="5"/>
      <c r="F90" s="5"/>
    </row>
    <row r="91" customFormat="false" ht="55.5" hidden="false" customHeight="true" outlineLevel="0" collapsed="false">
      <c r="A91" s="4" t="n">
        <v>87</v>
      </c>
      <c r="B91" s="4" t="s">
        <v>1335</v>
      </c>
      <c r="C91" s="4" t="s">
        <v>1348</v>
      </c>
      <c r="D91" s="4" t="s">
        <v>1349</v>
      </c>
      <c r="E91" s="4"/>
      <c r="F91" s="4" t="s">
        <v>1350</v>
      </c>
    </row>
    <row r="92" customFormat="false" ht="55.5" hidden="false" customHeight="true" outlineLevel="0" collapsed="false">
      <c r="A92" s="5" t="n">
        <v>88</v>
      </c>
      <c r="B92" s="5" t="s">
        <v>1351</v>
      </c>
      <c r="C92" s="5" t="s">
        <v>1352</v>
      </c>
      <c r="D92" s="5" t="s">
        <v>232</v>
      </c>
      <c r="E92" s="5" t="s">
        <v>1353</v>
      </c>
      <c r="F92" s="5"/>
    </row>
    <row r="93" customFormat="false" ht="55.5" hidden="false" customHeight="true" outlineLevel="0" collapsed="false">
      <c r="A93" s="4" t="n">
        <v>89</v>
      </c>
      <c r="B93" s="4" t="s">
        <v>1351</v>
      </c>
      <c r="C93" s="4" t="s">
        <v>1354</v>
      </c>
      <c r="D93" s="4" t="s">
        <v>232</v>
      </c>
      <c r="E93" s="4"/>
      <c r="F93" s="4"/>
    </row>
    <row r="94" customFormat="false" ht="55.5" hidden="false" customHeight="true" outlineLevel="0" collapsed="false">
      <c r="A94" s="5" t="n">
        <v>90</v>
      </c>
      <c r="B94" s="5" t="s">
        <v>1351</v>
      </c>
      <c r="C94" s="5" t="s">
        <v>1355</v>
      </c>
      <c r="D94" s="5" t="s">
        <v>232</v>
      </c>
      <c r="E94" s="5"/>
      <c r="F94" s="5"/>
    </row>
    <row r="95" customFormat="false" ht="55.5" hidden="false" customHeight="true" outlineLevel="0" collapsed="false">
      <c r="A95" s="4" t="n">
        <v>91</v>
      </c>
      <c r="B95" s="4" t="s">
        <v>1351</v>
      </c>
      <c r="C95" s="4" t="s">
        <v>1356</v>
      </c>
      <c r="D95" s="4" t="s">
        <v>234</v>
      </c>
      <c r="E95" s="4" t="s">
        <v>1357</v>
      </c>
      <c r="F95" s="4"/>
    </row>
    <row r="96" customFormat="false" ht="55.5" hidden="false" customHeight="true" outlineLevel="0" collapsed="false">
      <c r="A96" s="5" t="n">
        <v>92</v>
      </c>
      <c r="B96" s="5" t="s">
        <v>1351</v>
      </c>
      <c r="C96" s="5" t="s">
        <v>1358</v>
      </c>
      <c r="D96" s="5" t="s">
        <v>234</v>
      </c>
      <c r="E96" s="5"/>
      <c r="F96" s="5"/>
    </row>
    <row r="97" customFormat="false" ht="55.5" hidden="false" customHeight="true" outlineLevel="0" collapsed="false">
      <c r="A97" s="4" t="n">
        <v>93</v>
      </c>
      <c r="B97" s="4" t="s">
        <v>1351</v>
      </c>
      <c r="C97" s="4" t="s">
        <v>1359</v>
      </c>
      <c r="D97" s="4" t="s">
        <v>236</v>
      </c>
      <c r="E97" s="4" t="s">
        <v>1360</v>
      </c>
      <c r="F97" s="4"/>
    </row>
    <row r="98" customFormat="false" ht="55.5" hidden="false" customHeight="true" outlineLevel="0" collapsed="false">
      <c r="A98" s="5" t="n">
        <v>94</v>
      </c>
      <c r="B98" s="5" t="s">
        <v>1351</v>
      </c>
      <c r="C98" s="5" t="s">
        <v>1361</v>
      </c>
      <c r="D98" s="5" t="s">
        <v>236</v>
      </c>
      <c r="E98" s="5"/>
      <c r="F98" s="5"/>
    </row>
    <row r="99" customFormat="false" ht="55.5" hidden="false" customHeight="true" outlineLevel="0" collapsed="false">
      <c r="A99" s="4" t="n">
        <v>95</v>
      </c>
      <c r="B99" s="4" t="s">
        <v>1362</v>
      </c>
      <c r="C99" s="4" t="s">
        <v>1363</v>
      </c>
      <c r="D99" s="4" t="s">
        <v>1078</v>
      </c>
      <c r="E99" s="4" t="s">
        <v>1364</v>
      </c>
      <c r="F99" s="4"/>
    </row>
    <row r="100" customFormat="false" ht="55.5" hidden="false" customHeight="true" outlineLevel="0" collapsed="false">
      <c r="A100" s="5" t="n">
        <v>96</v>
      </c>
      <c r="B100" s="5" t="s">
        <v>1362</v>
      </c>
      <c r="C100" s="5" t="s">
        <v>1365</v>
      </c>
      <c r="D100" s="5" t="s">
        <v>1078</v>
      </c>
      <c r="E100" s="5"/>
      <c r="F100" s="5"/>
    </row>
    <row r="101" customFormat="false" ht="55.5" hidden="false" customHeight="true" outlineLevel="0" collapsed="false">
      <c r="A101" s="4" t="n">
        <v>97</v>
      </c>
      <c r="B101" s="4" t="s">
        <v>1362</v>
      </c>
      <c r="C101" s="4" t="s">
        <v>1366</v>
      </c>
      <c r="D101" s="4" t="s">
        <v>1078</v>
      </c>
      <c r="E101" s="4"/>
      <c r="F101" s="4"/>
    </row>
    <row r="102" customFormat="false" ht="55.5" hidden="false" customHeight="true" outlineLevel="0" collapsed="false">
      <c r="A102" s="5" t="n">
        <v>98</v>
      </c>
      <c r="B102" s="5" t="s">
        <v>1362</v>
      </c>
      <c r="C102" s="5" t="s">
        <v>1367</v>
      </c>
      <c r="D102" s="5" t="s">
        <v>242</v>
      </c>
      <c r="E102" s="5" t="s">
        <v>1368</v>
      </c>
      <c r="F102" s="5"/>
    </row>
    <row r="103" customFormat="false" ht="55.5" hidden="false" customHeight="true" outlineLevel="0" collapsed="false">
      <c r="A103" s="4" t="n">
        <v>99</v>
      </c>
      <c r="B103" s="4" t="s">
        <v>1362</v>
      </c>
      <c r="C103" s="4" t="s">
        <v>1369</v>
      </c>
      <c r="D103" s="4" t="s">
        <v>242</v>
      </c>
      <c r="E103" s="4"/>
      <c r="F103" s="4"/>
    </row>
    <row r="104" customFormat="false" ht="55.5" hidden="false" customHeight="true" outlineLevel="0" collapsed="false">
      <c r="A104" s="5" t="n">
        <v>100</v>
      </c>
      <c r="B104" s="5" t="s">
        <v>1362</v>
      </c>
      <c r="C104" s="5" t="s">
        <v>1370</v>
      </c>
      <c r="D104" s="5" t="s">
        <v>242</v>
      </c>
      <c r="E104" s="5" t="s">
        <v>1371</v>
      </c>
      <c r="F104" s="5"/>
    </row>
    <row r="105" customFormat="false" ht="55.5" hidden="false" customHeight="true" outlineLevel="0" collapsed="false">
      <c r="A105" s="4" t="n">
        <v>101</v>
      </c>
      <c r="B105" s="4" t="s">
        <v>1372</v>
      </c>
      <c r="C105" s="4" t="s">
        <v>1373</v>
      </c>
      <c r="D105" s="4" t="s">
        <v>1093</v>
      </c>
      <c r="E105" s="4" t="s">
        <v>1374</v>
      </c>
      <c r="F105" s="4"/>
    </row>
    <row r="106" customFormat="false" ht="55.5" hidden="false" customHeight="true" outlineLevel="0" collapsed="false">
      <c r="A106" s="5" t="n">
        <v>102</v>
      </c>
      <c r="B106" s="5" t="s">
        <v>1372</v>
      </c>
      <c r="C106" s="5" t="s">
        <v>1375</v>
      </c>
      <c r="D106" s="5" t="s">
        <v>1093</v>
      </c>
      <c r="E106" s="5"/>
      <c r="F106" s="5"/>
    </row>
    <row r="107" customFormat="false" ht="55.5" hidden="false" customHeight="true" outlineLevel="0" collapsed="false">
      <c r="A107" s="4" t="n">
        <v>103</v>
      </c>
      <c r="B107" s="4" t="s">
        <v>1372</v>
      </c>
      <c r="C107" s="4" t="s">
        <v>1376</v>
      </c>
      <c r="D107" s="4" t="s">
        <v>1093</v>
      </c>
      <c r="E107" s="4"/>
      <c r="F107" s="4"/>
    </row>
    <row r="108" customFormat="false" ht="55.5" hidden="false" customHeight="true" outlineLevel="0" collapsed="false">
      <c r="A108" s="5" t="n">
        <v>104</v>
      </c>
      <c r="B108" s="5" t="s">
        <v>1372</v>
      </c>
      <c r="C108" s="5" t="s">
        <v>1377</v>
      </c>
      <c r="D108" s="5" t="s">
        <v>1093</v>
      </c>
      <c r="E108" s="5"/>
      <c r="F108" s="5" t="s">
        <v>1378</v>
      </c>
    </row>
    <row r="109" customFormat="false" ht="55.5" hidden="false" customHeight="true" outlineLevel="0" collapsed="false">
      <c r="A109" s="4" t="n">
        <v>105</v>
      </c>
      <c r="B109" s="4" t="s">
        <v>1372</v>
      </c>
      <c r="C109" s="4" t="s">
        <v>1379</v>
      </c>
      <c r="D109" s="4" t="s">
        <v>1380</v>
      </c>
      <c r="E109" s="4"/>
      <c r="F109" s="4"/>
    </row>
    <row r="110" customFormat="false" ht="55.5" hidden="false" customHeight="true" outlineLevel="0" collapsed="false">
      <c r="A110" s="5" t="n">
        <v>106</v>
      </c>
      <c r="B110" s="5" t="s">
        <v>1372</v>
      </c>
      <c r="C110" s="5" t="s">
        <v>1381</v>
      </c>
      <c r="D110" s="5" t="s">
        <v>1093</v>
      </c>
      <c r="E110" s="5"/>
      <c r="F110" s="5"/>
    </row>
    <row r="111" customFormat="false" ht="55.5" hidden="false" customHeight="true" outlineLevel="0" collapsed="false">
      <c r="A111" s="4" t="n">
        <v>107</v>
      </c>
      <c r="B111" s="4" t="s">
        <v>1372</v>
      </c>
      <c r="C111" s="4" t="s">
        <v>1382</v>
      </c>
      <c r="D111" s="4" t="s">
        <v>1101</v>
      </c>
      <c r="E111" s="4"/>
      <c r="F111" s="4"/>
    </row>
    <row r="112" customFormat="false" ht="55.5" hidden="false" customHeight="true" outlineLevel="0" collapsed="false">
      <c r="A112" s="5" t="n">
        <v>108</v>
      </c>
      <c r="B112" s="5" t="s">
        <v>1372</v>
      </c>
      <c r="C112" s="5" t="s">
        <v>1383</v>
      </c>
      <c r="D112" s="5" t="s">
        <v>1101</v>
      </c>
      <c r="E112" s="5"/>
      <c r="F112" s="5"/>
    </row>
    <row r="113" customFormat="false" ht="55.5" hidden="false" customHeight="true" outlineLevel="0" collapsed="false">
      <c r="A113" s="4" t="n">
        <v>109</v>
      </c>
      <c r="B113" s="4" t="s">
        <v>1372</v>
      </c>
      <c r="C113" s="4" t="s">
        <v>1384</v>
      </c>
      <c r="D113" s="4" t="s">
        <v>1101</v>
      </c>
      <c r="E113" s="4"/>
      <c r="F113" s="4" t="s">
        <v>1385</v>
      </c>
    </row>
    <row r="114" customFormat="false" ht="55.5" hidden="false" customHeight="true" outlineLevel="0" collapsed="false">
      <c r="A114" s="5" t="n">
        <v>110</v>
      </c>
      <c r="B114" s="5" t="s">
        <v>1386</v>
      </c>
      <c r="C114" s="5" t="s">
        <v>1387</v>
      </c>
      <c r="D114" s="5" t="s">
        <v>246</v>
      </c>
      <c r="E114" s="5" t="s">
        <v>1388</v>
      </c>
      <c r="F114" s="5"/>
    </row>
    <row r="115" customFormat="false" ht="55.5" hidden="false" customHeight="true" outlineLevel="0" collapsed="false">
      <c r="A115" s="4" t="n">
        <v>111</v>
      </c>
      <c r="B115" s="4" t="s">
        <v>1386</v>
      </c>
      <c r="C115" s="4" t="s">
        <v>1389</v>
      </c>
      <c r="D115" s="4" t="s">
        <v>246</v>
      </c>
      <c r="E115" s="4"/>
      <c r="F115" s="4"/>
    </row>
    <row r="116" customFormat="false" ht="55.5" hidden="false" customHeight="true" outlineLevel="0" collapsed="false">
      <c r="A116" s="5" t="n">
        <v>112</v>
      </c>
      <c r="B116" s="5" t="s">
        <v>1386</v>
      </c>
      <c r="C116" s="5" t="s">
        <v>1390</v>
      </c>
      <c r="D116" s="5" t="s">
        <v>249</v>
      </c>
      <c r="E116" s="5" t="s">
        <v>1391</v>
      </c>
      <c r="F116" s="5"/>
    </row>
    <row r="117" customFormat="false" ht="55.5" hidden="false" customHeight="true" outlineLevel="0" collapsed="false">
      <c r="A117" s="4" t="n">
        <v>113</v>
      </c>
      <c r="B117" s="4" t="s">
        <v>1386</v>
      </c>
      <c r="C117" s="4" t="s">
        <v>1392</v>
      </c>
      <c r="D117" s="4" t="s">
        <v>249</v>
      </c>
      <c r="E117" s="4"/>
      <c r="F117" s="4"/>
    </row>
    <row r="118" customFormat="false" ht="55.5" hidden="false" customHeight="true" outlineLevel="0" collapsed="false">
      <c r="A118" s="5" t="n">
        <v>114</v>
      </c>
      <c r="B118" s="5" t="s">
        <v>1386</v>
      </c>
      <c r="C118" s="5" t="s">
        <v>1393</v>
      </c>
      <c r="D118" s="5" t="s">
        <v>253</v>
      </c>
      <c r="E118" s="5"/>
      <c r="F118" s="5"/>
    </row>
    <row r="119" customFormat="false" ht="55.5" hidden="false" customHeight="true" outlineLevel="0" collapsed="false">
      <c r="A119" s="4" t="n">
        <v>115</v>
      </c>
      <c r="B119" s="4" t="s">
        <v>1386</v>
      </c>
      <c r="C119" s="4" t="s">
        <v>1394</v>
      </c>
      <c r="D119" s="4" t="s">
        <v>253</v>
      </c>
      <c r="E119" s="4"/>
      <c r="F119" s="4" t="s">
        <v>1395</v>
      </c>
    </row>
    <row r="120" customFormat="false" ht="55.5" hidden="false" customHeight="true" outlineLevel="0" collapsed="false">
      <c r="A120" s="5" t="n">
        <v>116</v>
      </c>
      <c r="B120" s="5" t="s">
        <v>1386</v>
      </c>
      <c r="C120" s="5" t="s">
        <v>1396</v>
      </c>
      <c r="D120" s="5" t="s">
        <v>256</v>
      </c>
      <c r="E120" s="5"/>
      <c r="F120" s="5"/>
    </row>
    <row r="121" customFormat="false" ht="55.5" hidden="false" customHeight="true" outlineLevel="0" collapsed="false">
      <c r="A121" s="4" t="n">
        <v>117</v>
      </c>
      <c r="B121" s="4" t="s">
        <v>1386</v>
      </c>
      <c r="C121" s="4" t="s">
        <v>1397</v>
      </c>
      <c r="D121" s="4" t="s">
        <v>256</v>
      </c>
      <c r="E121" s="4"/>
      <c r="F121" s="4" t="s">
        <v>1398</v>
      </c>
    </row>
    <row r="122" customFormat="false" ht="55.5" hidden="false" customHeight="true" outlineLevel="0" collapsed="false">
      <c r="A122" s="5" t="n">
        <v>118</v>
      </c>
      <c r="B122" s="5" t="s">
        <v>1386</v>
      </c>
      <c r="C122" s="5" t="s">
        <v>1399</v>
      </c>
      <c r="D122" s="5" t="s">
        <v>259</v>
      </c>
      <c r="E122" s="5" t="s">
        <v>1400</v>
      </c>
      <c r="F122" s="5"/>
    </row>
    <row r="123" customFormat="false" ht="55.5" hidden="false" customHeight="true" outlineLevel="0" collapsed="false">
      <c r="A123" s="4" t="n">
        <v>119</v>
      </c>
      <c r="B123" s="4" t="s">
        <v>1386</v>
      </c>
      <c r="C123" s="4" t="s">
        <v>1401</v>
      </c>
      <c r="D123" s="4" t="s">
        <v>259</v>
      </c>
      <c r="E123" s="4"/>
      <c r="F123" s="4"/>
    </row>
    <row r="124" customFormat="false" ht="55.5" hidden="false" customHeight="true" outlineLevel="0" collapsed="false">
      <c r="A124" s="5" t="n">
        <v>120</v>
      </c>
      <c r="B124" s="5" t="s">
        <v>165</v>
      </c>
      <c r="C124" s="5" t="s">
        <v>1402</v>
      </c>
      <c r="D124" s="5" t="s">
        <v>251</v>
      </c>
      <c r="E124" s="5"/>
      <c r="F124" s="5"/>
    </row>
    <row r="125" customFormat="false" ht="55.5" hidden="false" customHeight="true" outlineLevel="0" collapsed="false">
      <c r="A125" s="4" t="n">
        <v>121</v>
      </c>
      <c r="B125" s="4" t="s">
        <v>165</v>
      </c>
      <c r="C125" s="4" t="s">
        <v>1403</v>
      </c>
      <c r="D125" s="4" t="s">
        <v>251</v>
      </c>
      <c r="E125" s="4" t="s">
        <v>1404</v>
      </c>
      <c r="F125" s="4" t="s">
        <v>1405</v>
      </c>
    </row>
    <row r="126" customFormat="false" ht="55.5" hidden="false" customHeight="true" outlineLevel="0" collapsed="false">
      <c r="A126" s="5" t="n">
        <v>122</v>
      </c>
      <c r="B126" s="5" t="s">
        <v>165</v>
      </c>
      <c r="C126" s="5" t="s">
        <v>1406</v>
      </c>
      <c r="D126" s="5" t="s">
        <v>251</v>
      </c>
      <c r="E126" s="5"/>
      <c r="F126" s="5"/>
    </row>
    <row r="127" customFormat="false" ht="55.5" hidden="false" customHeight="true" outlineLevel="0" collapsed="false">
      <c r="A127" s="4" t="n">
        <v>123</v>
      </c>
      <c r="B127" s="4" t="s">
        <v>165</v>
      </c>
      <c r="C127" s="4" t="s">
        <v>1407</v>
      </c>
      <c r="D127" s="4" t="s">
        <v>1408</v>
      </c>
      <c r="E127" s="4" t="s">
        <v>1409</v>
      </c>
      <c r="F127" s="4"/>
    </row>
    <row r="128" customFormat="false" ht="55.5" hidden="false" customHeight="true" outlineLevel="0" collapsed="false">
      <c r="A128" s="5" t="n">
        <v>124</v>
      </c>
      <c r="B128" s="5" t="s">
        <v>165</v>
      </c>
      <c r="C128" s="5" t="s">
        <v>1410</v>
      </c>
      <c r="D128" s="5" t="s">
        <v>1408</v>
      </c>
      <c r="E128" s="5"/>
      <c r="F128" s="5"/>
    </row>
    <row r="129" customFormat="false" ht="55.5" hidden="false" customHeight="true" outlineLevel="0" collapsed="false">
      <c r="A129" s="4" t="n">
        <v>125</v>
      </c>
      <c r="B129" s="4" t="s">
        <v>165</v>
      </c>
      <c r="C129" s="4" t="s">
        <v>1411</v>
      </c>
      <c r="D129" s="4" t="s">
        <v>1408</v>
      </c>
      <c r="E129" s="4"/>
      <c r="F129" s="4"/>
    </row>
    <row r="130" customFormat="false" ht="55.5" hidden="false" customHeight="true" outlineLevel="0" collapsed="false">
      <c r="A130" s="5" t="n">
        <v>126</v>
      </c>
      <c r="B130" s="5" t="s">
        <v>165</v>
      </c>
      <c r="C130" s="5" t="s">
        <v>1412</v>
      </c>
      <c r="D130" s="5" t="s">
        <v>1413</v>
      </c>
      <c r="E130" s="5"/>
      <c r="F130" s="5"/>
    </row>
    <row r="131" customFormat="false" ht="55.5" hidden="false" customHeight="true" outlineLevel="0" collapsed="false">
      <c r="A131" s="4" t="n">
        <v>127</v>
      </c>
      <c r="B131" s="4" t="s">
        <v>165</v>
      </c>
      <c r="C131" s="4" t="s">
        <v>1414</v>
      </c>
      <c r="D131" s="4" t="s">
        <v>1413</v>
      </c>
      <c r="E131" s="4" t="s">
        <v>1415</v>
      </c>
      <c r="F131" s="4"/>
    </row>
    <row r="132" customFormat="false" ht="55.5" hidden="false" customHeight="true" outlineLevel="0" collapsed="false">
      <c r="A132" s="5" t="n">
        <v>128</v>
      </c>
      <c r="B132" s="5" t="s">
        <v>165</v>
      </c>
      <c r="C132" s="5" t="s">
        <v>1416</v>
      </c>
      <c r="D132" s="5" t="s">
        <v>251</v>
      </c>
      <c r="E132" s="5"/>
      <c r="F132" s="5"/>
    </row>
    <row r="133" customFormat="false" ht="55.5" hidden="false" customHeight="true" outlineLevel="0" collapsed="false">
      <c r="A133" s="4" t="n">
        <v>129</v>
      </c>
      <c r="B133" s="4" t="s">
        <v>165</v>
      </c>
      <c r="C133" s="4" t="s">
        <v>1417</v>
      </c>
      <c r="D133" s="4" t="s">
        <v>251</v>
      </c>
      <c r="E133" s="4"/>
      <c r="F133" s="4"/>
    </row>
    <row r="134" customFormat="false" ht="55.5" hidden="false" customHeight="true" outlineLevel="0" collapsed="false">
      <c r="A134" s="5" t="n">
        <v>130</v>
      </c>
      <c r="B134" s="5" t="s">
        <v>165</v>
      </c>
      <c r="C134" s="5" t="s">
        <v>1418</v>
      </c>
      <c r="D134" s="5" t="s">
        <v>1419</v>
      </c>
      <c r="E134" s="5"/>
      <c r="F134" s="5"/>
    </row>
    <row r="135" customFormat="false" ht="55.5" hidden="false" customHeight="true" outlineLevel="0" collapsed="false">
      <c r="A135" s="4" t="n">
        <v>131</v>
      </c>
      <c r="B135" s="4" t="s">
        <v>165</v>
      </c>
      <c r="C135" s="4" t="s">
        <v>1420</v>
      </c>
      <c r="D135" s="4" t="s">
        <v>1419</v>
      </c>
      <c r="E135" s="4"/>
      <c r="F135" s="4"/>
    </row>
    <row r="136" customFormat="false" ht="55.5" hidden="false" customHeight="true" outlineLevel="0" collapsed="false">
      <c r="A136" s="5" t="n">
        <v>132</v>
      </c>
      <c r="B136" s="5" t="s">
        <v>165</v>
      </c>
      <c r="C136" s="5" t="s">
        <v>1421</v>
      </c>
      <c r="D136" s="5" t="s">
        <v>267</v>
      </c>
      <c r="E136" s="5" t="s">
        <v>1422</v>
      </c>
      <c r="F136" s="5"/>
    </row>
    <row r="137" customFormat="false" ht="55.5" hidden="false" customHeight="true" outlineLevel="0" collapsed="false">
      <c r="A137" s="4" t="n">
        <v>133</v>
      </c>
      <c r="B137" s="4" t="s">
        <v>165</v>
      </c>
      <c r="C137" s="4" t="s">
        <v>1423</v>
      </c>
      <c r="D137" s="4" t="s">
        <v>267</v>
      </c>
      <c r="E137" s="4"/>
      <c r="F137" s="4"/>
    </row>
    <row r="138" customFormat="false" ht="55.5" hidden="false" customHeight="true" outlineLevel="0" collapsed="false">
      <c r="A138" s="5" t="n">
        <v>134</v>
      </c>
      <c r="B138" s="5" t="s">
        <v>165</v>
      </c>
      <c r="C138" s="5" t="s">
        <v>1424</v>
      </c>
      <c r="D138" s="5" t="s">
        <v>267</v>
      </c>
      <c r="E138" s="5"/>
      <c r="F138" s="5" t="s">
        <v>1425</v>
      </c>
    </row>
    <row r="139" customFormat="false" ht="55.5" hidden="false" customHeight="true" outlineLevel="0" collapsed="false">
      <c r="A139" s="4" t="n">
        <v>135</v>
      </c>
      <c r="B139" s="4" t="s">
        <v>1426</v>
      </c>
      <c r="C139" s="4" t="s">
        <v>1427</v>
      </c>
      <c r="D139" s="4" t="s">
        <v>261</v>
      </c>
      <c r="E139" s="4" t="s">
        <v>1428</v>
      </c>
      <c r="F139" s="4"/>
    </row>
    <row r="140" customFormat="false" ht="55.5" hidden="false" customHeight="true" outlineLevel="0" collapsed="false">
      <c r="A140" s="5" t="n">
        <v>136</v>
      </c>
      <c r="B140" s="5" t="s">
        <v>1426</v>
      </c>
      <c r="C140" s="5" t="s">
        <v>1429</v>
      </c>
      <c r="D140" s="5" t="s">
        <v>261</v>
      </c>
      <c r="E140" s="5"/>
      <c r="F140" s="5"/>
    </row>
    <row r="141" customFormat="false" ht="55.5" hidden="false" customHeight="true" outlineLevel="0" collapsed="false">
      <c r="A141" s="4" t="n">
        <v>137</v>
      </c>
      <c r="B141" s="4" t="s">
        <v>1426</v>
      </c>
      <c r="C141" s="4" t="s">
        <v>1430</v>
      </c>
      <c r="D141" s="4" t="s">
        <v>261</v>
      </c>
      <c r="E141" s="4"/>
      <c r="F141" s="4"/>
    </row>
    <row r="142" customFormat="false" ht="55.5" hidden="false" customHeight="true" outlineLevel="0" collapsed="false">
      <c r="A142" s="5" t="n">
        <v>138</v>
      </c>
      <c r="B142" s="5" t="s">
        <v>1426</v>
      </c>
      <c r="C142" s="5" t="s">
        <v>1431</v>
      </c>
      <c r="D142" s="5" t="s">
        <v>263</v>
      </c>
      <c r="E142" s="5"/>
      <c r="F142" s="5"/>
    </row>
    <row r="143" customFormat="false" ht="55.5" hidden="false" customHeight="true" outlineLevel="0" collapsed="false">
      <c r="A143" s="4" t="n">
        <v>139</v>
      </c>
      <c r="B143" s="4" t="s">
        <v>1426</v>
      </c>
      <c r="C143" s="4" t="s">
        <v>1432</v>
      </c>
      <c r="D143" s="4" t="s">
        <v>263</v>
      </c>
      <c r="E143" s="4"/>
      <c r="F143" s="4"/>
    </row>
    <row r="144" customFormat="false" ht="55.5" hidden="false" customHeight="true" outlineLevel="0" collapsed="false">
      <c r="A144" s="5" t="n">
        <v>140</v>
      </c>
      <c r="B144" s="5" t="s">
        <v>1426</v>
      </c>
      <c r="C144" s="5" t="s">
        <v>1433</v>
      </c>
      <c r="D144" s="5" t="s">
        <v>265</v>
      </c>
      <c r="E144" s="5" t="s">
        <v>1434</v>
      </c>
      <c r="F144" s="5"/>
    </row>
    <row r="145" customFormat="false" ht="55.5" hidden="false" customHeight="true" outlineLevel="0" collapsed="false">
      <c r="A145" s="4" t="n">
        <v>141</v>
      </c>
      <c r="B145" s="4" t="s">
        <v>1426</v>
      </c>
      <c r="C145" s="4" t="s">
        <v>1435</v>
      </c>
      <c r="D145" s="4" t="s">
        <v>265</v>
      </c>
      <c r="E145" s="4"/>
      <c r="F145" s="4"/>
    </row>
    <row r="146" customFormat="false" ht="55.5" hidden="false" customHeight="true" outlineLevel="0" collapsed="false">
      <c r="A146" s="5" t="n">
        <v>142</v>
      </c>
      <c r="B146" s="5" t="s">
        <v>1426</v>
      </c>
      <c r="C146" s="5" t="s">
        <v>1436</v>
      </c>
      <c r="D146" s="5" t="s">
        <v>267</v>
      </c>
      <c r="E146" s="5"/>
      <c r="F146" s="5"/>
    </row>
    <row r="147" customFormat="false" ht="55.5" hidden="false" customHeight="true" outlineLevel="0" collapsed="false">
      <c r="A147" s="4" t="n">
        <v>143</v>
      </c>
      <c r="B147" s="4" t="s">
        <v>1426</v>
      </c>
      <c r="C147" s="4" t="s">
        <v>1437</v>
      </c>
      <c r="D147" s="4" t="s">
        <v>267</v>
      </c>
      <c r="E147" s="4"/>
      <c r="F147" s="4" t="s">
        <v>1438</v>
      </c>
    </row>
    <row r="148" customFormat="false" ht="55.5" hidden="false" customHeight="true" outlineLevel="0" collapsed="false">
      <c r="A148" s="5" t="n">
        <v>144</v>
      </c>
      <c r="B148" s="5" t="s">
        <v>1439</v>
      </c>
      <c r="C148" s="5" t="s">
        <v>1440</v>
      </c>
      <c r="D148" s="5" t="s">
        <v>1212</v>
      </c>
      <c r="E148" s="5"/>
      <c r="F148" s="5"/>
    </row>
    <row r="149" customFormat="false" ht="55.5" hidden="false" customHeight="true" outlineLevel="0" collapsed="false">
      <c r="A149" s="4" t="n">
        <v>145</v>
      </c>
      <c r="B149" s="4" t="s">
        <v>1439</v>
      </c>
      <c r="C149" s="4" t="s">
        <v>1441</v>
      </c>
      <c r="D149" s="4" t="s">
        <v>1212</v>
      </c>
      <c r="E149" s="4"/>
      <c r="F149" s="4"/>
    </row>
    <row r="150" customFormat="false" ht="55.5" hidden="false" customHeight="true" outlineLevel="0" collapsed="false">
      <c r="A150" s="5" t="n">
        <v>146</v>
      </c>
      <c r="B150" s="5" t="s">
        <v>1439</v>
      </c>
      <c r="C150" s="5" t="s">
        <v>1442</v>
      </c>
      <c r="D150" s="5" t="s">
        <v>1212</v>
      </c>
      <c r="E150" s="5"/>
      <c r="F150" s="5" t="s">
        <v>1443</v>
      </c>
    </row>
  </sheetData>
  <autoFilter ref="A4:F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E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18"/>
    <col collapsed="false" customWidth="true" hidden="false" outlineLevel="0" max="4" min="4" style="0" width="96"/>
    <col collapsed="false" customWidth="true" hidden="false" outlineLevel="0" max="5" min="5" style="0" width="26"/>
  </cols>
  <sheetData>
    <row r="1" customFormat="false" ht="17.35" hidden="false" customHeight="false" outlineLevel="0" collapsed="false">
      <c r="A1" s="1" t="s">
        <v>1444</v>
      </c>
    </row>
    <row r="2" customFormat="false" ht="15" hidden="false" customHeight="false" outlineLevel="0" collapsed="false">
      <c r="A2" s="2" t="s">
        <v>1445</v>
      </c>
    </row>
    <row r="4" customFormat="false" ht="30" hidden="false" customHeight="true" outlineLevel="0" collapsed="false">
      <c r="A4" s="3" t="s">
        <v>609</v>
      </c>
      <c r="B4" s="3" t="s">
        <v>610</v>
      </c>
      <c r="C4" s="3" t="s">
        <v>1446</v>
      </c>
      <c r="D4" s="3" t="s">
        <v>1447</v>
      </c>
      <c r="E4" s="3" t="s">
        <v>1448</v>
      </c>
    </row>
    <row r="5" customFormat="false" ht="25.5" hidden="false" customHeight="true" outlineLevel="0" collapsed="false">
      <c r="A5" s="4" t="s">
        <v>195</v>
      </c>
      <c r="B5" s="4" t="s">
        <v>1449</v>
      </c>
      <c r="C5" s="4" t="s">
        <v>1450</v>
      </c>
      <c r="D5" s="4" t="s">
        <v>1451</v>
      </c>
      <c r="E5" s="4" t="s">
        <v>622</v>
      </c>
    </row>
    <row r="6" customFormat="false" ht="25.5" hidden="false" customHeight="true" outlineLevel="0" collapsed="false">
      <c r="A6" s="5" t="s">
        <v>195</v>
      </c>
      <c r="B6" s="5" t="s">
        <v>1449</v>
      </c>
      <c r="C6" s="5" t="s">
        <v>1452</v>
      </c>
      <c r="D6" s="5" t="s">
        <v>1453</v>
      </c>
      <c r="E6" s="5" t="s">
        <v>622</v>
      </c>
    </row>
    <row r="7" customFormat="false" ht="25.5" hidden="false" customHeight="true" outlineLevel="0" collapsed="false">
      <c r="A7" s="4" t="s">
        <v>195</v>
      </c>
      <c r="B7" s="4" t="s">
        <v>1449</v>
      </c>
      <c r="C7" s="4" t="s">
        <v>1454</v>
      </c>
      <c r="D7" s="4" t="s">
        <v>138</v>
      </c>
      <c r="E7" s="4" t="s">
        <v>622</v>
      </c>
    </row>
    <row r="8" customFormat="false" ht="25.5" hidden="false" customHeight="true" outlineLevel="0" collapsed="false">
      <c r="A8" s="5" t="s">
        <v>195</v>
      </c>
      <c r="B8" s="5" t="s">
        <v>1449</v>
      </c>
      <c r="C8" s="5" t="s">
        <v>1455</v>
      </c>
      <c r="D8" s="5" t="s">
        <v>1456</v>
      </c>
      <c r="E8" s="5" t="s">
        <v>622</v>
      </c>
    </row>
    <row r="9" customFormat="false" ht="25.5" hidden="false" customHeight="true" outlineLevel="0" collapsed="false">
      <c r="A9" s="4" t="s">
        <v>195</v>
      </c>
      <c r="B9" s="4" t="s">
        <v>1449</v>
      </c>
      <c r="C9" s="4" t="s">
        <v>1457</v>
      </c>
      <c r="D9" s="4" t="s">
        <v>1458</v>
      </c>
      <c r="E9" s="4" t="s">
        <v>622</v>
      </c>
    </row>
    <row r="10" customFormat="false" ht="25.5" hidden="false" customHeight="true" outlineLevel="0" collapsed="false">
      <c r="A10" s="5" t="s">
        <v>195</v>
      </c>
      <c r="B10" s="5" t="s">
        <v>1449</v>
      </c>
      <c r="C10" s="5" t="s">
        <v>1459</v>
      </c>
      <c r="D10" s="5" t="s">
        <v>1460</v>
      </c>
      <c r="E10" s="5" t="s">
        <v>622</v>
      </c>
    </row>
    <row r="11" customFormat="false" ht="25.5" hidden="false" customHeight="true" outlineLevel="0" collapsed="false">
      <c r="A11" s="4" t="s">
        <v>195</v>
      </c>
      <c r="B11" s="4" t="s">
        <v>1449</v>
      </c>
      <c r="C11" s="4" t="s">
        <v>1461</v>
      </c>
      <c r="D11" s="4" t="s">
        <v>1462</v>
      </c>
      <c r="E11" s="4" t="s">
        <v>622</v>
      </c>
    </row>
    <row r="12" customFormat="false" ht="25.5" hidden="false" customHeight="true" outlineLevel="0" collapsed="false">
      <c r="A12" s="5" t="s">
        <v>195</v>
      </c>
      <c r="B12" s="5" t="s">
        <v>1449</v>
      </c>
      <c r="C12" s="5" t="s">
        <v>1463</v>
      </c>
      <c r="D12" s="5" t="s">
        <v>1464</v>
      </c>
      <c r="E12" s="5" t="s">
        <v>622</v>
      </c>
    </row>
    <row r="13" customFormat="false" ht="25.5" hidden="false" customHeight="true" outlineLevel="0" collapsed="false">
      <c r="A13" s="4" t="s">
        <v>195</v>
      </c>
      <c r="B13" s="4" t="s">
        <v>1449</v>
      </c>
      <c r="C13" s="4" t="s">
        <v>1465</v>
      </c>
      <c r="D13" s="4" t="s">
        <v>1466</v>
      </c>
      <c r="E13" s="4" t="s">
        <v>622</v>
      </c>
    </row>
    <row r="14" customFormat="false" ht="25.5" hidden="false" customHeight="true" outlineLevel="0" collapsed="false">
      <c r="A14" s="5" t="s">
        <v>195</v>
      </c>
      <c r="B14" s="5" t="s">
        <v>1449</v>
      </c>
      <c r="C14" s="5" t="s">
        <v>1467</v>
      </c>
      <c r="D14" s="5" t="s">
        <v>1468</v>
      </c>
      <c r="E14" s="5" t="s">
        <v>622</v>
      </c>
    </row>
    <row r="15" customFormat="false" ht="25.5" hidden="false" customHeight="true" outlineLevel="0" collapsed="false">
      <c r="A15" s="4" t="s">
        <v>195</v>
      </c>
      <c r="B15" s="4" t="s">
        <v>1449</v>
      </c>
      <c r="C15" s="4" t="s">
        <v>1469</v>
      </c>
      <c r="D15" s="4" t="s">
        <v>1470</v>
      </c>
      <c r="E15" s="4" t="s">
        <v>622</v>
      </c>
    </row>
    <row r="16" customFormat="false" ht="25.5" hidden="false" customHeight="true" outlineLevel="0" collapsed="false">
      <c r="A16" s="5" t="s">
        <v>195</v>
      </c>
      <c r="B16" s="5" t="s">
        <v>1449</v>
      </c>
      <c r="C16" s="5" t="s">
        <v>1471</v>
      </c>
      <c r="D16" s="5" t="s">
        <v>1472</v>
      </c>
      <c r="E16" s="5" t="s">
        <v>622</v>
      </c>
    </row>
    <row r="17" customFormat="false" ht="25.5" hidden="false" customHeight="true" outlineLevel="0" collapsed="false">
      <c r="A17" s="4" t="s">
        <v>195</v>
      </c>
      <c r="B17" s="4" t="s">
        <v>1449</v>
      </c>
      <c r="C17" s="4" t="s">
        <v>1473</v>
      </c>
      <c r="D17" s="4" t="s">
        <v>1474</v>
      </c>
      <c r="E17" s="4" t="s">
        <v>622</v>
      </c>
    </row>
    <row r="18" customFormat="false" ht="25.5" hidden="false" customHeight="true" outlineLevel="0" collapsed="false">
      <c r="A18" s="5" t="s">
        <v>195</v>
      </c>
      <c r="B18" s="5" t="s">
        <v>1449</v>
      </c>
      <c r="C18" s="5" t="s">
        <v>1475</v>
      </c>
      <c r="D18" s="5" t="s">
        <v>1476</v>
      </c>
      <c r="E18" s="5" t="s">
        <v>622</v>
      </c>
    </row>
    <row r="19" customFormat="false" ht="25.5" hidden="false" customHeight="true" outlineLevel="0" collapsed="false">
      <c r="A19" s="4" t="s">
        <v>195</v>
      </c>
      <c r="B19" s="4" t="s">
        <v>1449</v>
      </c>
      <c r="C19" s="4" t="s">
        <v>1477</v>
      </c>
      <c r="D19" s="4" t="s">
        <v>1478</v>
      </c>
      <c r="E19" s="4" t="s">
        <v>622</v>
      </c>
    </row>
    <row r="20" customFormat="false" ht="25.5" hidden="false" customHeight="true" outlineLevel="0" collapsed="false">
      <c r="A20" s="5" t="s">
        <v>195</v>
      </c>
      <c r="B20" s="5" t="s">
        <v>1449</v>
      </c>
      <c r="C20" s="5" t="s">
        <v>1479</v>
      </c>
      <c r="D20" s="5" t="s">
        <v>1480</v>
      </c>
      <c r="E20" s="5" t="s">
        <v>622</v>
      </c>
    </row>
    <row r="21" customFormat="false" ht="25.5" hidden="false" customHeight="true" outlineLevel="0" collapsed="false">
      <c r="A21" s="4" t="s">
        <v>195</v>
      </c>
      <c r="B21" s="4" t="s">
        <v>1449</v>
      </c>
      <c r="C21" s="4" t="s">
        <v>1481</v>
      </c>
      <c r="D21" s="4" t="s">
        <v>1482</v>
      </c>
      <c r="E21" s="4" t="s">
        <v>622</v>
      </c>
    </row>
    <row r="22" customFormat="false" ht="25.5" hidden="false" customHeight="true" outlineLevel="0" collapsed="false">
      <c r="A22" s="5" t="s">
        <v>195</v>
      </c>
      <c r="B22" s="5" t="s">
        <v>1449</v>
      </c>
      <c r="C22" s="5" t="s">
        <v>1483</v>
      </c>
      <c r="D22" s="5" t="s">
        <v>1484</v>
      </c>
      <c r="E22" s="5" t="s">
        <v>622</v>
      </c>
    </row>
    <row r="23" customFormat="false" ht="25.5" hidden="false" customHeight="true" outlineLevel="0" collapsed="false">
      <c r="A23" s="4" t="s">
        <v>195</v>
      </c>
      <c r="B23" s="4" t="s">
        <v>1449</v>
      </c>
      <c r="C23" s="4" t="s">
        <v>1485</v>
      </c>
      <c r="D23" s="4" t="s">
        <v>1486</v>
      </c>
      <c r="E23" s="4" t="s">
        <v>622</v>
      </c>
    </row>
    <row r="24" customFormat="false" ht="25.5" hidden="false" customHeight="true" outlineLevel="0" collapsed="false">
      <c r="A24" s="5" t="s">
        <v>195</v>
      </c>
      <c r="B24" s="5" t="s">
        <v>1449</v>
      </c>
      <c r="C24" s="5" t="s">
        <v>1487</v>
      </c>
      <c r="D24" s="5" t="s">
        <v>1488</v>
      </c>
      <c r="E24" s="5" t="s">
        <v>622</v>
      </c>
    </row>
    <row r="25" customFormat="false" ht="25.5" hidden="false" customHeight="true" outlineLevel="0" collapsed="false">
      <c r="A25" s="4" t="s">
        <v>195</v>
      </c>
      <c r="B25" s="4" t="s">
        <v>1449</v>
      </c>
      <c r="C25" s="4" t="s">
        <v>1489</v>
      </c>
      <c r="D25" s="4" t="s">
        <v>1490</v>
      </c>
      <c r="E25" s="4" t="s">
        <v>622</v>
      </c>
    </row>
    <row r="26" customFormat="false" ht="25.5" hidden="false" customHeight="true" outlineLevel="0" collapsed="false">
      <c r="A26" s="5" t="s">
        <v>195</v>
      </c>
      <c r="B26" s="5" t="s">
        <v>1449</v>
      </c>
      <c r="C26" s="5" t="s">
        <v>1491</v>
      </c>
      <c r="D26" s="5" t="s">
        <v>1492</v>
      </c>
      <c r="E26" s="5" t="s">
        <v>622</v>
      </c>
    </row>
    <row r="27" customFormat="false" ht="25.5" hidden="false" customHeight="true" outlineLevel="0" collapsed="false">
      <c r="A27" s="4" t="s">
        <v>195</v>
      </c>
      <c r="B27" s="4" t="s">
        <v>1449</v>
      </c>
      <c r="C27" s="4" t="s">
        <v>1493</v>
      </c>
      <c r="D27" s="4" t="s">
        <v>1494</v>
      </c>
      <c r="E27" s="4" t="s">
        <v>622</v>
      </c>
    </row>
    <row r="28" customFormat="false" ht="25.5" hidden="false" customHeight="true" outlineLevel="0" collapsed="false">
      <c r="A28" s="5" t="s">
        <v>195</v>
      </c>
      <c r="B28" s="5" t="s">
        <v>1449</v>
      </c>
      <c r="C28" s="5" t="s">
        <v>1495</v>
      </c>
      <c r="D28" s="5" t="s">
        <v>1496</v>
      </c>
      <c r="E28" s="5" t="s">
        <v>622</v>
      </c>
    </row>
    <row r="29" customFormat="false" ht="25.5" hidden="false" customHeight="true" outlineLevel="0" collapsed="false">
      <c r="A29" s="4" t="s">
        <v>195</v>
      </c>
      <c r="B29" s="4" t="s">
        <v>1449</v>
      </c>
      <c r="C29" s="4" t="s">
        <v>1497</v>
      </c>
      <c r="D29" s="4" t="s">
        <v>1498</v>
      </c>
      <c r="E29" s="4" t="s">
        <v>622</v>
      </c>
    </row>
    <row r="30" customFormat="false" ht="25.5" hidden="false" customHeight="true" outlineLevel="0" collapsed="false">
      <c r="A30" s="5" t="s">
        <v>195</v>
      </c>
      <c r="B30" s="5" t="s">
        <v>1449</v>
      </c>
      <c r="C30" s="5" t="s">
        <v>1499</v>
      </c>
      <c r="D30" s="5" t="s">
        <v>1500</v>
      </c>
      <c r="E30" s="5" t="s">
        <v>622</v>
      </c>
    </row>
    <row r="31" customFormat="false" ht="25.5" hidden="false" customHeight="true" outlineLevel="0" collapsed="false">
      <c r="A31" s="4" t="s">
        <v>195</v>
      </c>
      <c r="B31" s="4" t="s">
        <v>1449</v>
      </c>
      <c r="C31" s="4" t="s">
        <v>1501</v>
      </c>
      <c r="D31" s="4" t="s">
        <v>1502</v>
      </c>
      <c r="E31" s="4" t="s">
        <v>622</v>
      </c>
    </row>
    <row r="32" customFormat="false" ht="25.5" hidden="false" customHeight="true" outlineLevel="0" collapsed="false">
      <c r="A32" s="5" t="s">
        <v>195</v>
      </c>
      <c r="B32" s="5" t="s">
        <v>1449</v>
      </c>
      <c r="C32" s="5" t="s">
        <v>1503</v>
      </c>
      <c r="D32" s="5" t="s">
        <v>1504</v>
      </c>
      <c r="E32" s="5" t="s">
        <v>622</v>
      </c>
    </row>
    <row r="33" customFormat="false" ht="25.5" hidden="false" customHeight="true" outlineLevel="0" collapsed="false">
      <c r="A33" s="4" t="s">
        <v>192</v>
      </c>
      <c r="B33" s="4" t="s">
        <v>1505</v>
      </c>
      <c r="C33" s="4" t="s">
        <v>1506</v>
      </c>
      <c r="D33" s="4" t="s">
        <v>1507</v>
      </c>
      <c r="E33" s="4" t="s">
        <v>622</v>
      </c>
    </row>
    <row r="34" customFormat="false" ht="25.5" hidden="false" customHeight="true" outlineLevel="0" collapsed="false">
      <c r="A34" s="5" t="s">
        <v>192</v>
      </c>
      <c r="B34" s="5" t="s">
        <v>1505</v>
      </c>
      <c r="C34" s="5" t="s">
        <v>1452</v>
      </c>
      <c r="D34" s="5" t="s">
        <v>1508</v>
      </c>
      <c r="E34" s="5" t="s">
        <v>622</v>
      </c>
    </row>
    <row r="35" customFormat="false" ht="25.5" hidden="false" customHeight="true" outlineLevel="0" collapsed="false">
      <c r="A35" s="4" t="s">
        <v>192</v>
      </c>
      <c r="B35" s="4" t="s">
        <v>1505</v>
      </c>
      <c r="C35" s="4" t="s">
        <v>1454</v>
      </c>
      <c r="D35" s="4" t="s">
        <v>1509</v>
      </c>
      <c r="E35" s="4" t="s">
        <v>622</v>
      </c>
    </row>
    <row r="36" customFormat="false" ht="25.5" hidden="false" customHeight="true" outlineLevel="0" collapsed="false">
      <c r="A36" s="5" t="s">
        <v>192</v>
      </c>
      <c r="B36" s="5" t="s">
        <v>1505</v>
      </c>
      <c r="C36" s="5" t="s">
        <v>1455</v>
      </c>
      <c r="D36" s="5" t="s">
        <v>1510</v>
      </c>
      <c r="E36" s="5" t="s">
        <v>622</v>
      </c>
    </row>
    <row r="37" customFormat="false" ht="25.5" hidden="false" customHeight="true" outlineLevel="0" collapsed="false">
      <c r="A37" s="4" t="s">
        <v>192</v>
      </c>
      <c r="B37" s="4" t="s">
        <v>1505</v>
      </c>
      <c r="C37" s="4" t="s">
        <v>1511</v>
      </c>
      <c r="D37" s="4" t="s">
        <v>1512</v>
      </c>
      <c r="E37" s="4" t="s">
        <v>622</v>
      </c>
    </row>
    <row r="38" customFormat="false" ht="25.5" hidden="false" customHeight="true" outlineLevel="0" collapsed="false">
      <c r="A38" s="5" t="s">
        <v>192</v>
      </c>
      <c r="B38" s="5" t="s">
        <v>1505</v>
      </c>
      <c r="C38" s="5" t="s">
        <v>1459</v>
      </c>
      <c r="D38" s="5" t="s">
        <v>1513</v>
      </c>
      <c r="E38" s="5" t="s">
        <v>622</v>
      </c>
    </row>
    <row r="39" customFormat="false" ht="25.5" hidden="false" customHeight="true" outlineLevel="0" collapsed="false">
      <c r="A39" s="4" t="s">
        <v>192</v>
      </c>
      <c r="B39" s="4" t="s">
        <v>1505</v>
      </c>
      <c r="C39" s="4" t="s">
        <v>1461</v>
      </c>
      <c r="D39" s="4" t="s">
        <v>1514</v>
      </c>
      <c r="E39" s="4" t="s">
        <v>622</v>
      </c>
    </row>
    <row r="40" customFormat="false" ht="25.5" hidden="false" customHeight="true" outlineLevel="0" collapsed="false">
      <c r="A40" s="5" t="s">
        <v>192</v>
      </c>
      <c r="B40" s="5" t="s">
        <v>1505</v>
      </c>
      <c r="C40" s="5" t="s">
        <v>1463</v>
      </c>
      <c r="D40" s="5" t="s">
        <v>1515</v>
      </c>
      <c r="E40" s="5" t="s">
        <v>622</v>
      </c>
    </row>
    <row r="41" customFormat="false" ht="25.5" hidden="false" customHeight="true" outlineLevel="0" collapsed="false">
      <c r="A41" s="4" t="s">
        <v>192</v>
      </c>
      <c r="B41" s="4" t="s">
        <v>1505</v>
      </c>
      <c r="C41" s="4" t="s">
        <v>1516</v>
      </c>
      <c r="D41" s="4" t="s">
        <v>1517</v>
      </c>
      <c r="E41" s="4" t="s">
        <v>622</v>
      </c>
    </row>
    <row r="42" customFormat="false" ht="25.5" hidden="false" customHeight="true" outlineLevel="0" collapsed="false">
      <c r="A42" s="5" t="s">
        <v>192</v>
      </c>
      <c r="B42" s="5" t="s">
        <v>1505</v>
      </c>
      <c r="C42" s="5" t="s">
        <v>1473</v>
      </c>
      <c r="D42" s="5" t="s">
        <v>1518</v>
      </c>
      <c r="E42" s="5" t="s">
        <v>622</v>
      </c>
    </row>
    <row r="43" customFormat="false" ht="25.5" hidden="false" customHeight="true" outlineLevel="0" collapsed="false">
      <c r="A43" s="4" t="s">
        <v>192</v>
      </c>
      <c r="B43" s="4" t="s">
        <v>1505</v>
      </c>
      <c r="C43" s="4" t="s">
        <v>1475</v>
      </c>
      <c r="D43" s="4" t="s">
        <v>1519</v>
      </c>
      <c r="E43" s="4" t="s">
        <v>622</v>
      </c>
    </row>
    <row r="44" customFormat="false" ht="25.5" hidden="false" customHeight="true" outlineLevel="0" collapsed="false">
      <c r="A44" s="5" t="s">
        <v>192</v>
      </c>
      <c r="B44" s="5" t="s">
        <v>1505</v>
      </c>
      <c r="C44" s="5" t="s">
        <v>1477</v>
      </c>
      <c r="D44" s="5" t="s">
        <v>1520</v>
      </c>
      <c r="E44" s="5" t="s">
        <v>622</v>
      </c>
    </row>
    <row r="45" customFormat="false" ht="25.5" hidden="false" customHeight="true" outlineLevel="0" collapsed="false">
      <c r="A45" s="4" t="s">
        <v>192</v>
      </c>
      <c r="B45" s="4" t="s">
        <v>1505</v>
      </c>
      <c r="C45" s="4" t="s">
        <v>1479</v>
      </c>
      <c r="D45" s="4" t="s">
        <v>1521</v>
      </c>
      <c r="E45" s="4" t="s">
        <v>622</v>
      </c>
    </row>
    <row r="46" customFormat="false" ht="25.5" hidden="false" customHeight="true" outlineLevel="0" collapsed="false">
      <c r="A46" s="5" t="s">
        <v>192</v>
      </c>
      <c r="B46" s="5" t="s">
        <v>1505</v>
      </c>
      <c r="C46" s="5" t="s">
        <v>1481</v>
      </c>
      <c r="D46" s="5" t="s">
        <v>1522</v>
      </c>
      <c r="E46" s="5" t="s">
        <v>622</v>
      </c>
    </row>
    <row r="47" customFormat="false" ht="25.5" hidden="false" customHeight="true" outlineLevel="0" collapsed="false">
      <c r="A47" s="4" t="s">
        <v>192</v>
      </c>
      <c r="B47" s="4" t="s">
        <v>1505</v>
      </c>
      <c r="C47" s="4" t="s">
        <v>1483</v>
      </c>
      <c r="D47" s="4" t="s">
        <v>1523</v>
      </c>
      <c r="E47" s="4" t="s">
        <v>622</v>
      </c>
    </row>
    <row r="48" customFormat="false" ht="25.5" hidden="false" customHeight="true" outlineLevel="0" collapsed="false">
      <c r="A48" s="5" t="s">
        <v>617</v>
      </c>
      <c r="B48" s="5" t="s">
        <v>1524</v>
      </c>
      <c r="C48" s="5" t="s">
        <v>1525</v>
      </c>
      <c r="D48" s="5" t="s">
        <v>1526</v>
      </c>
      <c r="E48" s="5" t="s">
        <v>622</v>
      </c>
    </row>
    <row r="49" customFormat="false" ht="25.5" hidden="false" customHeight="true" outlineLevel="0" collapsed="false">
      <c r="A49" s="4" t="s">
        <v>617</v>
      </c>
      <c r="B49" s="4" t="s">
        <v>1524</v>
      </c>
      <c r="C49" s="4" t="s">
        <v>1527</v>
      </c>
      <c r="D49" s="4" t="s">
        <v>1528</v>
      </c>
      <c r="E49" s="4" t="s">
        <v>622</v>
      </c>
    </row>
    <row r="50" customFormat="false" ht="25.5" hidden="false" customHeight="true" outlineLevel="0" collapsed="false">
      <c r="A50" s="5" t="s">
        <v>617</v>
      </c>
      <c r="B50" s="5" t="s">
        <v>1524</v>
      </c>
      <c r="C50" s="5" t="s">
        <v>1529</v>
      </c>
      <c r="D50" s="5" t="s">
        <v>1530</v>
      </c>
      <c r="E50" s="5" t="s">
        <v>622</v>
      </c>
    </row>
    <row r="51" customFormat="false" ht="25.5" hidden="false" customHeight="true" outlineLevel="0" collapsed="false">
      <c r="A51" s="4" t="s">
        <v>617</v>
      </c>
      <c r="B51" s="4" t="s">
        <v>1524</v>
      </c>
      <c r="C51" s="4" t="s">
        <v>1531</v>
      </c>
      <c r="D51" s="4" t="s">
        <v>1532</v>
      </c>
      <c r="E51" s="4" t="s">
        <v>622</v>
      </c>
    </row>
    <row r="52" customFormat="false" ht="25.5" hidden="false" customHeight="true" outlineLevel="0" collapsed="false">
      <c r="A52" s="5" t="s">
        <v>617</v>
      </c>
      <c r="B52" s="5" t="s">
        <v>1524</v>
      </c>
      <c r="C52" s="5" t="s">
        <v>1533</v>
      </c>
      <c r="D52" s="5" t="s">
        <v>1534</v>
      </c>
      <c r="E52" s="5" t="s">
        <v>622</v>
      </c>
    </row>
    <row r="53" customFormat="false" ht="25.5" hidden="false" customHeight="true" outlineLevel="0" collapsed="false">
      <c r="A53" s="4" t="s">
        <v>617</v>
      </c>
      <c r="B53" s="4" t="s">
        <v>1524</v>
      </c>
      <c r="C53" s="4" t="s">
        <v>1535</v>
      </c>
      <c r="D53" s="4" t="s">
        <v>1536</v>
      </c>
      <c r="E53" s="4" t="s">
        <v>622</v>
      </c>
    </row>
    <row r="54" customFormat="false" ht="25.5" hidden="false" customHeight="true" outlineLevel="0" collapsed="false">
      <c r="A54" s="5" t="s">
        <v>617</v>
      </c>
      <c r="B54" s="5" t="s">
        <v>1524</v>
      </c>
      <c r="C54" s="5" t="s">
        <v>1537</v>
      </c>
      <c r="D54" s="5" t="s">
        <v>1538</v>
      </c>
      <c r="E54" s="5" t="s">
        <v>622</v>
      </c>
    </row>
    <row r="55" customFormat="false" ht="25.5" hidden="false" customHeight="true" outlineLevel="0" collapsed="false">
      <c r="A55" s="4" t="s">
        <v>617</v>
      </c>
      <c r="B55" s="4" t="s">
        <v>1524</v>
      </c>
      <c r="C55" s="4" t="s">
        <v>1539</v>
      </c>
      <c r="D55" s="4" t="s">
        <v>1540</v>
      </c>
      <c r="E55" s="4" t="s">
        <v>622</v>
      </c>
    </row>
    <row r="56" customFormat="false" ht="25.5" hidden="false" customHeight="true" outlineLevel="0" collapsed="false">
      <c r="A56" s="5" t="s">
        <v>617</v>
      </c>
      <c r="B56" s="5" t="s">
        <v>1524</v>
      </c>
      <c r="C56" s="5" t="s">
        <v>1541</v>
      </c>
      <c r="D56" s="5" t="s">
        <v>1542</v>
      </c>
      <c r="E56" s="5" t="s">
        <v>622</v>
      </c>
    </row>
    <row r="57" customFormat="false" ht="25.5" hidden="false" customHeight="true" outlineLevel="0" collapsed="false">
      <c r="A57" s="4" t="s">
        <v>617</v>
      </c>
      <c r="B57" s="4" t="s">
        <v>1524</v>
      </c>
      <c r="C57" s="4" t="s">
        <v>1543</v>
      </c>
      <c r="D57" s="4" t="s">
        <v>1544</v>
      </c>
      <c r="E57" s="4" t="s">
        <v>622</v>
      </c>
    </row>
    <row r="58" customFormat="false" ht="25.5" hidden="false" customHeight="true" outlineLevel="0" collapsed="false">
      <c r="A58" s="5" t="s">
        <v>219</v>
      </c>
      <c r="B58" s="5" t="s">
        <v>1545</v>
      </c>
      <c r="C58" s="5" t="s">
        <v>1546</v>
      </c>
      <c r="D58" s="5" t="s">
        <v>1547</v>
      </c>
      <c r="E58" s="5" t="s">
        <v>622</v>
      </c>
    </row>
    <row r="59" customFormat="false" ht="25.5" hidden="false" customHeight="true" outlineLevel="0" collapsed="false">
      <c r="A59" s="4" t="s">
        <v>219</v>
      </c>
      <c r="B59" s="4" t="s">
        <v>1545</v>
      </c>
      <c r="C59" s="4" t="s">
        <v>1548</v>
      </c>
      <c r="D59" s="4" t="s">
        <v>1549</v>
      </c>
      <c r="E59" s="4" t="s">
        <v>622</v>
      </c>
    </row>
    <row r="60" customFormat="false" ht="25.5" hidden="false" customHeight="true" outlineLevel="0" collapsed="false">
      <c r="A60" s="5" t="s">
        <v>219</v>
      </c>
      <c r="B60" s="5" t="s">
        <v>1545</v>
      </c>
      <c r="C60" s="5" t="s">
        <v>1550</v>
      </c>
      <c r="D60" s="5" t="s">
        <v>1551</v>
      </c>
      <c r="E60" s="5" t="s">
        <v>622</v>
      </c>
    </row>
    <row r="61" customFormat="false" ht="25.5" hidden="false" customHeight="true" outlineLevel="0" collapsed="false">
      <c r="A61" s="4" t="s">
        <v>219</v>
      </c>
      <c r="B61" s="4" t="s">
        <v>1545</v>
      </c>
      <c r="C61" s="4" t="s">
        <v>1552</v>
      </c>
      <c r="D61" s="4" t="s">
        <v>1553</v>
      </c>
      <c r="E61" s="4" t="s">
        <v>622</v>
      </c>
    </row>
    <row r="62" customFormat="false" ht="25.5" hidden="false" customHeight="true" outlineLevel="0" collapsed="false">
      <c r="A62" s="5" t="s">
        <v>219</v>
      </c>
      <c r="B62" s="5" t="s">
        <v>1545</v>
      </c>
      <c r="C62" s="5" t="s">
        <v>1554</v>
      </c>
      <c r="D62" s="5" t="s">
        <v>1555</v>
      </c>
      <c r="E62" s="5" t="s">
        <v>622</v>
      </c>
    </row>
    <row r="63" customFormat="false" ht="25.5" hidden="false" customHeight="true" outlineLevel="0" collapsed="false">
      <c r="A63" s="4" t="s">
        <v>219</v>
      </c>
      <c r="B63" s="4" t="s">
        <v>1545</v>
      </c>
      <c r="C63" s="4" t="s">
        <v>1556</v>
      </c>
      <c r="D63" s="4" t="s">
        <v>1557</v>
      </c>
      <c r="E63" s="4" t="s">
        <v>622</v>
      </c>
    </row>
    <row r="64" customFormat="false" ht="25.5" hidden="false" customHeight="true" outlineLevel="0" collapsed="false">
      <c r="A64" s="5" t="s">
        <v>219</v>
      </c>
      <c r="B64" s="5" t="s">
        <v>1545</v>
      </c>
      <c r="C64" s="5" t="s">
        <v>1558</v>
      </c>
      <c r="D64" s="5" t="s">
        <v>1559</v>
      </c>
      <c r="E64" s="5" t="s">
        <v>622</v>
      </c>
    </row>
    <row r="65" customFormat="false" ht="25.5" hidden="false" customHeight="true" outlineLevel="0" collapsed="false">
      <c r="A65" s="4" t="s">
        <v>219</v>
      </c>
      <c r="B65" s="4" t="s">
        <v>1545</v>
      </c>
      <c r="C65" s="4" t="s">
        <v>1560</v>
      </c>
      <c r="D65" s="4" t="s">
        <v>1561</v>
      </c>
      <c r="E65" s="4" t="s">
        <v>622</v>
      </c>
    </row>
    <row r="66" customFormat="false" ht="25.5" hidden="false" customHeight="true" outlineLevel="0" collapsed="false">
      <c r="A66" s="5" t="s">
        <v>219</v>
      </c>
      <c r="B66" s="5" t="s">
        <v>1545</v>
      </c>
      <c r="C66" s="5" t="s">
        <v>1562</v>
      </c>
      <c r="D66" s="5" t="s">
        <v>1563</v>
      </c>
      <c r="E66" s="5" t="s">
        <v>622</v>
      </c>
    </row>
    <row r="67" customFormat="false" ht="25.5" hidden="false" customHeight="true" outlineLevel="0" collapsed="false">
      <c r="A67" s="4" t="s">
        <v>219</v>
      </c>
      <c r="B67" s="4" t="s">
        <v>1545</v>
      </c>
      <c r="C67" s="4" t="s">
        <v>1564</v>
      </c>
      <c r="D67" s="4" t="s">
        <v>1565</v>
      </c>
      <c r="E67" s="4" t="s">
        <v>622</v>
      </c>
    </row>
    <row r="68" customFormat="false" ht="25.5" hidden="false" customHeight="true" outlineLevel="0" collapsed="false">
      <c r="A68" s="5" t="s">
        <v>219</v>
      </c>
      <c r="B68" s="5" t="s">
        <v>1545</v>
      </c>
      <c r="C68" s="5" t="s">
        <v>1566</v>
      </c>
      <c r="D68" s="5" t="s">
        <v>1567</v>
      </c>
      <c r="E68" s="5" t="s">
        <v>622</v>
      </c>
    </row>
    <row r="69" customFormat="false" ht="25.5" hidden="false" customHeight="true" outlineLevel="0" collapsed="false">
      <c r="A69" s="4" t="s">
        <v>219</v>
      </c>
      <c r="B69" s="4" t="s">
        <v>1545</v>
      </c>
      <c r="C69" s="4" t="s">
        <v>1568</v>
      </c>
      <c r="D69" s="4" t="s">
        <v>1569</v>
      </c>
      <c r="E69" s="4" t="s">
        <v>622</v>
      </c>
    </row>
    <row r="70" customFormat="false" ht="25.5" hidden="false" customHeight="true" outlineLevel="0" collapsed="false">
      <c r="A70" s="5" t="s">
        <v>691</v>
      </c>
      <c r="B70" s="5" t="s">
        <v>1570</v>
      </c>
      <c r="C70" s="5" t="s">
        <v>1571</v>
      </c>
      <c r="D70" s="5" t="s">
        <v>1572</v>
      </c>
      <c r="E70" s="5" t="s">
        <v>622</v>
      </c>
    </row>
    <row r="71" customFormat="false" ht="25.5" hidden="false" customHeight="true" outlineLevel="0" collapsed="false">
      <c r="A71" s="4" t="s">
        <v>691</v>
      </c>
      <c r="B71" s="4" t="s">
        <v>1570</v>
      </c>
      <c r="C71" s="4" t="s">
        <v>1573</v>
      </c>
      <c r="D71" s="4" t="s">
        <v>1574</v>
      </c>
      <c r="E71" s="4" t="s">
        <v>622</v>
      </c>
    </row>
    <row r="72" customFormat="false" ht="25.5" hidden="false" customHeight="true" outlineLevel="0" collapsed="false">
      <c r="A72" s="5" t="s">
        <v>691</v>
      </c>
      <c r="B72" s="5" t="s">
        <v>1570</v>
      </c>
      <c r="C72" s="5" t="s">
        <v>1575</v>
      </c>
      <c r="D72" s="5" t="s">
        <v>1576</v>
      </c>
      <c r="E72" s="5" t="s">
        <v>622</v>
      </c>
    </row>
    <row r="73" customFormat="false" ht="25.5" hidden="false" customHeight="true" outlineLevel="0" collapsed="false">
      <c r="A73" s="4" t="s">
        <v>691</v>
      </c>
      <c r="B73" s="4" t="s">
        <v>1570</v>
      </c>
      <c r="C73" s="4" t="s">
        <v>1577</v>
      </c>
      <c r="D73" s="4" t="s">
        <v>1578</v>
      </c>
      <c r="E73" s="4" t="s">
        <v>622</v>
      </c>
    </row>
    <row r="74" customFormat="false" ht="25.5" hidden="false" customHeight="true" outlineLevel="0" collapsed="false">
      <c r="A74" s="5" t="s">
        <v>691</v>
      </c>
      <c r="B74" s="5" t="s">
        <v>1570</v>
      </c>
      <c r="C74" s="5" t="s">
        <v>1579</v>
      </c>
      <c r="D74" s="5" t="s">
        <v>1580</v>
      </c>
      <c r="E74" s="5" t="s">
        <v>622</v>
      </c>
    </row>
    <row r="75" customFormat="false" ht="25.5" hidden="false" customHeight="true" outlineLevel="0" collapsed="false">
      <c r="A75" s="4" t="s">
        <v>691</v>
      </c>
      <c r="B75" s="4" t="s">
        <v>1570</v>
      </c>
      <c r="C75" s="4" t="s">
        <v>1581</v>
      </c>
      <c r="D75" s="4" t="s">
        <v>1468</v>
      </c>
      <c r="E75" s="4" t="s">
        <v>622</v>
      </c>
    </row>
    <row r="76" customFormat="false" ht="25.5" hidden="false" customHeight="true" outlineLevel="0" collapsed="false">
      <c r="A76" s="5" t="s">
        <v>248</v>
      </c>
      <c r="B76" s="5" t="s">
        <v>1582</v>
      </c>
      <c r="C76" s="5" t="s">
        <v>1450</v>
      </c>
      <c r="D76" s="5" t="s">
        <v>1458</v>
      </c>
      <c r="E76" s="5" t="s">
        <v>622</v>
      </c>
    </row>
    <row r="77" customFormat="false" ht="25.5" hidden="false" customHeight="true" outlineLevel="0" collapsed="false">
      <c r="A77" s="4" t="s">
        <v>248</v>
      </c>
      <c r="B77" s="4" t="s">
        <v>1582</v>
      </c>
      <c r="C77" s="4" t="s">
        <v>1457</v>
      </c>
      <c r="D77" s="4" t="s">
        <v>1583</v>
      </c>
      <c r="E77" s="4" t="s">
        <v>622</v>
      </c>
    </row>
    <row r="78" customFormat="false" ht="25.5" hidden="false" customHeight="true" outlineLevel="0" collapsed="false">
      <c r="A78" s="5" t="s">
        <v>248</v>
      </c>
      <c r="B78" s="5" t="s">
        <v>1582</v>
      </c>
      <c r="C78" s="5" t="s">
        <v>1471</v>
      </c>
      <c r="D78" s="5" t="s">
        <v>1584</v>
      </c>
      <c r="E78" s="5" t="s">
        <v>622</v>
      </c>
    </row>
    <row r="79" customFormat="false" ht="25.5" hidden="false" customHeight="true" outlineLevel="0" collapsed="false">
      <c r="A79" s="4" t="s">
        <v>248</v>
      </c>
      <c r="B79" s="4" t="s">
        <v>1582</v>
      </c>
      <c r="C79" s="4" t="s">
        <v>1485</v>
      </c>
      <c r="D79" s="4" t="s">
        <v>1585</v>
      </c>
      <c r="E79" s="4" t="s">
        <v>622</v>
      </c>
    </row>
    <row r="80" customFormat="false" ht="25.5" hidden="false" customHeight="true" outlineLevel="0" collapsed="false">
      <c r="A80" s="5" t="s">
        <v>248</v>
      </c>
      <c r="B80" s="5" t="s">
        <v>1582</v>
      </c>
      <c r="C80" s="5" t="s">
        <v>1497</v>
      </c>
      <c r="D80" s="5" t="s">
        <v>1586</v>
      </c>
      <c r="E80" s="5" t="s">
        <v>622</v>
      </c>
    </row>
    <row r="81" customFormat="false" ht="25.5" hidden="false" customHeight="true" outlineLevel="0" collapsed="false">
      <c r="A81" s="4" t="s">
        <v>248</v>
      </c>
      <c r="B81" s="4" t="s">
        <v>1582</v>
      </c>
      <c r="C81" s="4" t="s">
        <v>1587</v>
      </c>
      <c r="D81" s="4" t="s">
        <v>1588</v>
      </c>
      <c r="E81" s="4" t="s">
        <v>622</v>
      </c>
    </row>
    <row r="82" customFormat="false" ht="25.5" hidden="false" customHeight="true" outlineLevel="0" collapsed="false">
      <c r="A82" s="5" t="s">
        <v>248</v>
      </c>
      <c r="B82" s="5" t="s">
        <v>1582</v>
      </c>
      <c r="C82" s="5" t="s">
        <v>1589</v>
      </c>
      <c r="D82" s="5" t="s">
        <v>1590</v>
      </c>
      <c r="E82" s="5" t="s">
        <v>622</v>
      </c>
    </row>
    <row r="83" customFormat="false" ht="25.5" hidden="false" customHeight="true" outlineLevel="0" collapsed="false">
      <c r="A83" s="4" t="s">
        <v>248</v>
      </c>
      <c r="B83" s="4" t="s">
        <v>1582</v>
      </c>
      <c r="C83" s="4" t="s">
        <v>1591</v>
      </c>
      <c r="D83" s="4" t="s">
        <v>1592</v>
      </c>
      <c r="E83" s="4" t="s">
        <v>622</v>
      </c>
    </row>
    <row r="84" customFormat="false" ht="25.5" hidden="false" customHeight="true" outlineLevel="0" collapsed="false">
      <c r="A84" s="5" t="s">
        <v>248</v>
      </c>
      <c r="B84" s="5" t="s">
        <v>1582</v>
      </c>
      <c r="C84" s="5" t="s">
        <v>1593</v>
      </c>
      <c r="D84" s="5" t="s">
        <v>1594</v>
      </c>
      <c r="E84" s="5" t="s">
        <v>622</v>
      </c>
    </row>
    <row r="85" customFormat="false" ht="25.5" hidden="false" customHeight="true" outlineLevel="0" collapsed="false">
      <c r="A85" s="4" t="s">
        <v>248</v>
      </c>
      <c r="B85" s="4" t="s">
        <v>1582</v>
      </c>
      <c r="C85" s="4" t="s">
        <v>1595</v>
      </c>
      <c r="D85" s="4" t="s">
        <v>1596</v>
      </c>
      <c r="E85" s="4" t="s">
        <v>622</v>
      </c>
    </row>
    <row r="86" customFormat="false" ht="25.5" hidden="false" customHeight="true" outlineLevel="0" collapsed="false">
      <c r="A86" s="5" t="s">
        <v>248</v>
      </c>
      <c r="B86" s="5" t="s">
        <v>1582</v>
      </c>
      <c r="C86" s="5" t="s">
        <v>1597</v>
      </c>
      <c r="D86" s="5" t="s">
        <v>1598</v>
      </c>
      <c r="E86" s="5" t="s">
        <v>622</v>
      </c>
    </row>
    <row r="87" customFormat="false" ht="25.5" hidden="false" customHeight="true" outlineLevel="0" collapsed="false">
      <c r="A87" s="4" t="s">
        <v>248</v>
      </c>
      <c r="B87" s="4" t="s">
        <v>1582</v>
      </c>
      <c r="C87" s="4" t="s">
        <v>1599</v>
      </c>
      <c r="D87" s="4" t="s">
        <v>1600</v>
      </c>
      <c r="E87" s="4" t="s">
        <v>622</v>
      </c>
    </row>
    <row r="88" customFormat="false" ht="25.5" hidden="false" customHeight="true" outlineLevel="0" collapsed="false">
      <c r="A88" s="5" t="s">
        <v>248</v>
      </c>
      <c r="B88" s="5" t="s">
        <v>1582</v>
      </c>
      <c r="C88" s="5" t="s">
        <v>1601</v>
      </c>
      <c r="D88" s="5" t="s">
        <v>1602</v>
      </c>
      <c r="E88" s="5" t="s">
        <v>622</v>
      </c>
    </row>
    <row r="89" customFormat="false" ht="25.5" hidden="false" customHeight="true" outlineLevel="0" collapsed="false">
      <c r="A89" s="4" t="s">
        <v>248</v>
      </c>
      <c r="B89" s="4" t="s">
        <v>1582</v>
      </c>
      <c r="C89" s="4" t="s">
        <v>1603</v>
      </c>
      <c r="D89" s="4" t="s">
        <v>1604</v>
      </c>
      <c r="E89" s="4" t="s">
        <v>622</v>
      </c>
    </row>
    <row r="90" customFormat="false" ht="25.5" hidden="false" customHeight="true" outlineLevel="0" collapsed="false">
      <c r="A90" s="5" t="s">
        <v>248</v>
      </c>
      <c r="B90" s="5" t="s">
        <v>1605</v>
      </c>
      <c r="C90" s="5" t="s">
        <v>1450</v>
      </c>
      <c r="D90" s="5" t="s">
        <v>1606</v>
      </c>
      <c r="E90" s="5" t="s">
        <v>622</v>
      </c>
    </row>
    <row r="91" customFormat="false" ht="25.5" hidden="false" customHeight="true" outlineLevel="0" collapsed="false">
      <c r="A91" s="4" t="s">
        <v>248</v>
      </c>
      <c r="B91" s="4" t="s">
        <v>1605</v>
      </c>
      <c r="C91" s="4" t="s">
        <v>1457</v>
      </c>
      <c r="D91" s="4" t="s">
        <v>1607</v>
      </c>
      <c r="E91" s="4" t="s">
        <v>622</v>
      </c>
    </row>
    <row r="92" customFormat="false" ht="25.5" hidden="false" customHeight="true" outlineLevel="0" collapsed="false">
      <c r="A92" s="5" t="s">
        <v>248</v>
      </c>
      <c r="B92" s="5" t="s">
        <v>1605</v>
      </c>
      <c r="C92" s="5" t="s">
        <v>1471</v>
      </c>
      <c r="D92" s="5" t="s">
        <v>1608</v>
      </c>
      <c r="E92" s="5" t="s">
        <v>622</v>
      </c>
    </row>
    <row r="93" customFormat="false" ht="25.5" hidden="false" customHeight="true" outlineLevel="0" collapsed="false">
      <c r="A93" s="4" t="s">
        <v>248</v>
      </c>
      <c r="B93" s="4" t="s">
        <v>1605</v>
      </c>
      <c r="C93" s="4" t="s">
        <v>1485</v>
      </c>
      <c r="D93" s="4" t="s">
        <v>1609</v>
      </c>
      <c r="E93" s="4" t="s">
        <v>622</v>
      </c>
    </row>
    <row r="94" customFormat="false" ht="25.5" hidden="false" customHeight="true" outlineLevel="0" collapsed="false">
      <c r="A94" s="5" t="s">
        <v>248</v>
      </c>
      <c r="B94" s="5" t="s">
        <v>1605</v>
      </c>
      <c r="C94" s="5" t="s">
        <v>1497</v>
      </c>
      <c r="D94" s="5" t="s">
        <v>1610</v>
      </c>
      <c r="E94" s="5" t="s">
        <v>622</v>
      </c>
    </row>
    <row r="95" customFormat="false" ht="25.5" hidden="false" customHeight="true" outlineLevel="0" collapsed="false">
      <c r="A95" s="4" t="s">
        <v>248</v>
      </c>
      <c r="B95" s="4" t="s">
        <v>1605</v>
      </c>
      <c r="C95" s="4" t="s">
        <v>1587</v>
      </c>
      <c r="D95" s="4" t="s">
        <v>1611</v>
      </c>
      <c r="E95" s="4" t="s">
        <v>622</v>
      </c>
    </row>
    <row r="96" customFormat="false" ht="25.5" hidden="false" customHeight="true" outlineLevel="0" collapsed="false">
      <c r="A96" s="5" t="s">
        <v>248</v>
      </c>
      <c r="B96" s="5" t="s">
        <v>1605</v>
      </c>
      <c r="C96" s="5" t="s">
        <v>1589</v>
      </c>
      <c r="D96" s="5" t="s">
        <v>1612</v>
      </c>
      <c r="E96" s="5" t="s">
        <v>622</v>
      </c>
    </row>
    <row r="97" customFormat="false" ht="25.5" hidden="false" customHeight="true" outlineLevel="0" collapsed="false">
      <c r="A97" s="4" t="s">
        <v>248</v>
      </c>
      <c r="B97" s="4" t="s">
        <v>1605</v>
      </c>
      <c r="C97" s="4" t="s">
        <v>1591</v>
      </c>
      <c r="D97" s="4" t="s">
        <v>1613</v>
      </c>
      <c r="E97" s="4" t="s">
        <v>622</v>
      </c>
    </row>
    <row r="98" customFormat="false" ht="25.5" hidden="false" customHeight="true" outlineLevel="0" collapsed="false">
      <c r="A98" s="5" t="s">
        <v>248</v>
      </c>
      <c r="B98" s="5" t="s">
        <v>1605</v>
      </c>
      <c r="C98" s="5" t="s">
        <v>1593</v>
      </c>
      <c r="D98" s="5" t="s">
        <v>1614</v>
      </c>
      <c r="E98" s="5" t="s">
        <v>622</v>
      </c>
    </row>
    <row r="99" customFormat="false" ht="25.5" hidden="false" customHeight="true" outlineLevel="0" collapsed="false">
      <c r="A99" s="4" t="s">
        <v>248</v>
      </c>
      <c r="B99" s="4" t="s">
        <v>1605</v>
      </c>
      <c r="C99" s="4" t="s">
        <v>1595</v>
      </c>
      <c r="D99" s="4" t="s">
        <v>1615</v>
      </c>
      <c r="E99" s="4" t="s">
        <v>622</v>
      </c>
    </row>
    <row r="100" customFormat="false" ht="25.5" hidden="false" customHeight="true" outlineLevel="0" collapsed="false">
      <c r="A100" s="5" t="s">
        <v>248</v>
      </c>
      <c r="B100" s="5" t="s">
        <v>1605</v>
      </c>
      <c r="C100" s="5" t="s">
        <v>1597</v>
      </c>
      <c r="D100" s="5" t="s">
        <v>1616</v>
      </c>
      <c r="E100" s="5" t="s">
        <v>622</v>
      </c>
    </row>
    <row r="101" customFormat="false" ht="25.5" hidden="false" customHeight="true" outlineLevel="0" collapsed="false">
      <c r="A101" s="4" t="s">
        <v>248</v>
      </c>
      <c r="B101" s="4" t="s">
        <v>1617</v>
      </c>
      <c r="C101" s="4" t="s">
        <v>1450</v>
      </c>
      <c r="D101" s="4" t="s">
        <v>1618</v>
      </c>
      <c r="E101" s="4" t="s">
        <v>622</v>
      </c>
    </row>
    <row r="102" customFormat="false" ht="25.5" hidden="false" customHeight="true" outlineLevel="0" collapsed="false">
      <c r="A102" s="5" t="s">
        <v>248</v>
      </c>
      <c r="B102" s="5" t="s">
        <v>1617</v>
      </c>
      <c r="C102" s="5" t="s">
        <v>1457</v>
      </c>
      <c r="D102" s="5" t="s">
        <v>1619</v>
      </c>
      <c r="E102" s="5" t="s">
        <v>622</v>
      </c>
    </row>
    <row r="103" customFormat="false" ht="25.5" hidden="false" customHeight="true" outlineLevel="0" collapsed="false">
      <c r="A103" s="4" t="s">
        <v>248</v>
      </c>
      <c r="B103" s="4" t="s">
        <v>1617</v>
      </c>
      <c r="C103" s="4" t="s">
        <v>1471</v>
      </c>
      <c r="D103" s="4" t="s">
        <v>1620</v>
      </c>
      <c r="E103" s="4" t="s">
        <v>622</v>
      </c>
    </row>
    <row r="104" customFormat="false" ht="25.5" hidden="false" customHeight="true" outlineLevel="0" collapsed="false">
      <c r="A104" s="5" t="s">
        <v>248</v>
      </c>
      <c r="B104" s="5" t="s">
        <v>1617</v>
      </c>
      <c r="C104" s="5" t="s">
        <v>1485</v>
      </c>
      <c r="D104" s="5" t="s">
        <v>1621</v>
      </c>
      <c r="E104" s="5" t="s">
        <v>622</v>
      </c>
    </row>
    <row r="105" customFormat="false" ht="25.5" hidden="false" customHeight="true" outlineLevel="0" collapsed="false">
      <c r="A105" s="4" t="s">
        <v>248</v>
      </c>
      <c r="B105" s="4" t="s">
        <v>1617</v>
      </c>
      <c r="C105" s="4" t="s">
        <v>1497</v>
      </c>
      <c r="D105" s="4" t="s">
        <v>1622</v>
      </c>
      <c r="E105" s="4" t="s">
        <v>622</v>
      </c>
    </row>
    <row r="106" customFormat="false" ht="25.5" hidden="false" customHeight="true" outlineLevel="0" collapsed="false">
      <c r="A106" s="5" t="s">
        <v>248</v>
      </c>
      <c r="B106" s="5" t="s">
        <v>1617</v>
      </c>
      <c r="C106" s="5" t="s">
        <v>1587</v>
      </c>
      <c r="D106" s="5" t="s">
        <v>1623</v>
      </c>
      <c r="E106" s="5" t="s">
        <v>622</v>
      </c>
    </row>
    <row r="107" customFormat="false" ht="25.5" hidden="false" customHeight="true" outlineLevel="0" collapsed="false">
      <c r="A107" s="4" t="s">
        <v>248</v>
      </c>
      <c r="B107" s="4" t="s">
        <v>1617</v>
      </c>
      <c r="C107" s="4" t="s">
        <v>1589</v>
      </c>
      <c r="D107" s="4" t="s">
        <v>1624</v>
      </c>
      <c r="E107" s="4" t="s">
        <v>622</v>
      </c>
    </row>
    <row r="108" customFormat="false" ht="25.5" hidden="false" customHeight="true" outlineLevel="0" collapsed="false">
      <c r="A108" s="5" t="s">
        <v>248</v>
      </c>
      <c r="B108" s="5" t="s">
        <v>1617</v>
      </c>
      <c r="C108" s="5" t="s">
        <v>1591</v>
      </c>
      <c r="D108" s="5" t="s">
        <v>1625</v>
      </c>
      <c r="E108" s="5" t="s">
        <v>622</v>
      </c>
    </row>
    <row r="109" customFormat="false" ht="25.5" hidden="false" customHeight="true" outlineLevel="0" collapsed="false">
      <c r="A109" s="4" t="s">
        <v>248</v>
      </c>
      <c r="B109" s="4" t="s">
        <v>1617</v>
      </c>
      <c r="C109" s="4" t="s">
        <v>1593</v>
      </c>
      <c r="D109" s="4" t="s">
        <v>1626</v>
      </c>
      <c r="E109" s="4" t="s">
        <v>622</v>
      </c>
    </row>
    <row r="110" customFormat="false" ht="25.5" hidden="false" customHeight="true" outlineLevel="0" collapsed="false">
      <c r="A110" s="5" t="s">
        <v>248</v>
      </c>
      <c r="B110" s="5" t="s">
        <v>1627</v>
      </c>
      <c r="C110" s="5" t="s">
        <v>1628</v>
      </c>
      <c r="D110" s="5" t="s">
        <v>1629</v>
      </c>
      <c r="E110" s="5" t="s">
        <v>622</v>
      </c>
    </row>
    <row r="111" customFormat="false" ht="25.5" hidden="false" customHeight="true" outlineLevel="0" collapsed="false">
      <c r="A111" s="4" t="s">
        <v>248</v>
      </c>
      <c r="B111" s="4" t="s">
        <v>1627</v>
      </c>
      <c r="C111" s="4" t="s">
        <v>1471</v>
      </c>
      <c r="D111" s="4" t="s">
        <v>1630</v>
      </c>
      <c r="E111" s="4" t="s">
        <v>622</v>
      </c>
    </row>
    <row r="112" customFormat="false" ht="25.5" hidden="false" customHeight="true" outlineLevel="0" collapsed="false">
      <c r="A112" s="5" t="s">
        <v>248</v>
      </c>
      <c r="B112" s="5" t="s">
        <v>1627</v>
      </c>
      <c r="C112" s="5" t="s">
        <v>1485</v>
      </c>
      <c r="D112" s="5" t="s">
        <v>1631</v>
      </c>
      <c r="E112" s="5" t="s">
        <v>622</v>
      </c>
    </row>
    <row r="113" customFormat="false" ht="25.5" hidden="false" customHeight="true" outlineLevel="0" collapsed="false">
      <c r="A113" s="4" t="s">
        <v>248</v>
      </c>
      <c r="B113" s="4" t="s">
        <v>1627</v>
      </c>
      <c r="C113" s="4" t="s">
        <v>1497</v>
      </c>
      <c r="D113" s="4" t="s">
        <v>1632</v>
      </c>
      <c r="E113" s="4" t="s">
        <v>622</v>
      </c>
    </row>
    <row r="114" customFormat="false" ht="25.5" hidden="false" customHeight="true" outlineLevel="0" collapsed="false">
      <c r="A114" s="5" t="s">
        <v>248</v>
      </c>
      <c r="B114" s="5" t="s">
        <v>1627</v>
      </c>
      <c r="C114" s="5" t="s">
        <v>1587</v>
      </c>
      <c r="D114" s="5" t="s">
        <v>1633</v>
      </c>
      <c r="E114" s="5" t="s">
        <v>622</v>
      </c>
    </row>
    <row r="115" customFormat="false" ht="25.5" hidden="false" customHeight="true" outlineLevel="0" collapsed="false">
      <c r="A115" s="4" t="s">
        <v>248</v>
      </c>
      <c r="B115" s="4" t="s">
        <v>1627</v>
      </c>
      <c r="C115" s="4" t="s">
        <v>1589</v>
      </c>
      <c r="D115" s="4" t="s">
        <v>1634</v>
      </c>
      <c r="E115" s="4" t="s">
        <v>622</v>
      </c>
    </row>
    <row r="116" customFormat="false" ht="25.5" hidden="false" customHeight="true" outlineLevel="0" collapsed="false">
      <c r="A116" s="5" t="s">
        <v>248</v>
      </c>
      <c r="B116" s="5" t="s">
        <v>1627</v>
      </c>
      <c r="C116" s="5" t="s">
        <v>1591</v>
      </c>
      <c r="D116" s="5" t="s">
        <v>1635</v>
      </c>
      <c r="E116" s="5" t="s">
        <v>622</v>
      </c>
    </row>
    <row r="117" customFormat="false" ht="25.5" hidden="false" customHeight="true" outlineLevel="0" collapsed="false">
      <c r="A117" s="4" t="s">
        <v>248</v>
      </c>
      <c r="B117" s="4" t="s">
        <v>1627</v>
      </c>
      <c r="C117" s="4" t="s">
        <v>1593</v>
      </c>
      <c r="D117" s="4" t="s">
        <v>1636</v>
      </c>
      <c r="E117" s="4" t="s">
        <v>622</v>
      </c>
    </row>
    <row r="118" customFormat="false" ht="25.5" hidden="false" customHeight="true" outlineLevel="0" collapsed="false">
      <c r="A118" s="5" t="s">
        <v>248</v>
      </c>
      <c r="B118" s="5" t="s">
        <v>1627</v>
      </c>
      <c r="C118" s="5" t="s">
        <v>1637</v>
      </c>
      <c r="D118" s="5" t="s">
        <v>1638</v>
      </c>
      <c r="E118" s="5" t="s">
        <v>622</v>
      </c>
    </row>
    <row r="119" customFormat="false" ht="25.5" hidden="false" customHeight="true" outlineLevel="0" collapsed="false">
      <c r="A119" s="4" t="s">
        <v>367</v>
      </c>
      <c r="B119" s="4" t="s">
        <v>1639</v>
      </c>
      <c r="C119" s="4" t="s">
        <v>1640</v>
      </c>
      <c r="D119" s="4" t="s">
        <v>1641</v>
      </c>
      <c r="E119" s="4" t="s">
        <v>622</v>
      </c>
    </row>
    <row r="120" customFormat="false" ht="25.5" hidden="false" customHeight="true" outlineLevel="0" collapsed="false">
      <c r="A120" s="5" t="s">
        <v>367</v>
      </c>
      <c r="B120" s="5" t="s">
        <v>1639</v>
      </c>
      <c r="C120" s="5" t="s">
        <v>1642</v>
      </c>
      <c r="D120" s="5" t="s">
        <v>1643</v>
      </c>
      <c r="E120" s="5" t="s">
        <v>622</v>
      </c>
    </row>
    <row r="121" customFormat="false" ht="25.5" hidden="false" customHeight="true" outlineLevel="0" collapsed="false">
      <c r="A121" s="4" t="s">
        <v>367</v>
      </c>
      <c r="B121" s="4" t="s">
        <v>1639</v>
      </c>
      <c r="C121" s="4" t="s">
        <v>1644</v>
      </c>
      <c r="D121" s="4" t="s">
        <v>1645</v>
      </c>
      <c r="E121" s="4" t="s">
        <v>622</v>
      </c>
    </row>
    <row r="122" customFormat="false" ht="25.5" hidden="false" customHeight="true" outlineLevel="0" collapsed="false">
      <c r="A122" s="5" t="s">
        <v>367</v>
      </c>
      <c r="B122" s="5" t="s">
        <v>1646</v>
      </c>
      <c r="C122" s="5" t="s">
        <v>1647</v>
      </c>
      <c r="D122" s="5" t="s">
        <v>1648</v>
      </c>
      <c r="E122" s="5" t="s">
        <v>622</v>
      </c>
    </row>
    <row r="123" customFormat="false" ht="25.5" hidden="false" customHeight="true" outlineLevel="0" collapsed="false">
      <c r="A123" s="4" t="s">
        <v>367</v>
      </c>
      <c r="B123" s="4" t="s">
        <v>1646</v>
      </c>
      <c r="C123" s="4" t="s">
        <v>1649</v>
      </c>
      <c r="D123" s="4" t="s">
        <v>1650</v>
      </c>
      <c r="E123" s="4" t="s">
        <v>622</v>
      </c>
    </row>
    <row r="124" customFormat="false" ht="25.5" hidden="false" customHeight="true" outlineLevel="0" collapsed="false">
      <c r="A124" s="5" t="s">
        <v>367</v>
      </c>
      <c r="B124" s="5" t="s">
        <v>1646</v>
      </c>
      <c r="C124" s="5" t="s">
        <v>1651</v>
      </c>
      <c r="D124" s="5" t="s">
        <v>1652</v>
      </c>
      <c r="E124" s="5" t="s">
        <v>622</v>
      </c>
    </row>
    <row r="125" customFormat="false" ht="25.5" hidden="false" customHeight="true" outlineLevel="0" collapsed="false">
      <c r="A125" s="4" t="s">
        <v>367</v>
      </c>
      <c r="B125" s="4" t="s">
        <v>1646</v>
      </c>
      <c r="C125" s="4" t="s">
        <v>1653</v>
      </c>
      <c r="D125" s="4" t="s">
        <v>1654</v>
      </c>
      <c r="E125" s="4" t="s">
        <v>622</v>
      </c>
    </row>
    <row r="126" customFormat="false" ht="25.5" hidden="false" customHeight="true" outlineLevel="0" collapsed="false">
      <c r="A126" s="5" t="s">
        <v>367</v>
      </c>
      <c r="B126" s="5" t="s">
        <v>1646</v>
      </c>
      <c r="C126" s="5" t="s">
        <v>1655</v>
      </c>
      <c r="D126" s="5" t="s">
        <v>1656</v>
      </c>
      <c r="E126" s="5" t="s">
        <v>622</v>
      </c>
    </row>
    <row r="127" customFormat="false" ht="25.5" hidden="false" customHeight="true" outlineLevel="0" collapsed="false">
      <c r="A127" s="4" t="s">
        <v>367</v>
      </c>
      <c r="B127" s="4" t="s">
        <v>1646</v>
      </c>
      <c r="C127" s="4" t="s">
        <v>1657</v>
      </c>
      <c r="D127" s="4" t="s">
        <v>1658</v>
      </c>
      <c r="E127" s="4" t="s">
        <v>622</v>
      </c>
    </row>
    <row r="128" customFormat="false" ht="25.5" hidden="false" customHeight="true" outlineLevel="0" collapsed="false">
      <c r="A128" s="5" t="s">
        <v>367</v>
      </c>
      <c r="B128" s="5" t="s">
        <v>1646</v>
      </c>
      <c r="C128" s="5" t="s">
        <v>1659</v>
      </c>
      <c r="D128" s="5" t="s">
        <v>1660</v>
      </c>
      <c r="E128" s="5" t="s">
        <v>622</v>
      </c>
    </row>
    <row r="129" customFormat="false" ht="25.5" hidden="false" customHeight="true" outlineLevel="0" collapsed="false">
      <c r="A129" s="4" t="s">
        <v>367</v>
      </c>
      <c r="B129" s="4" t="s">
        <v>1646</v>
      </c>
      <c r="C129" s="4" t="s">
        <v>1661</v>
      </c>
      <c r="D129" s="4" t="s">
        <v>1662</v>
      </c>
      <c r="E129" s="4" t="s">
        <v>622</v>
      </c>
    </row>
    <row r="130" customFormat="false" ht="25.5" hidden="false" customHeight="true" outlineLevel="0" collapsed="false">
      <c r="A130" s="5" t="s">
        <v>367</v>
      </c>
      <c r="B130" s="5" t="s">
        <v>1646</v>
      </c>
      <c r="C130" s="5" t="s">
        <v>1663</v>
      </c>
      <c r="D130" s="5" t="s">
        <v>1664</v>
      </c>
      <c r="E130" s="5" t="s">
        <v>622</v>
      </c>
    </row>
    <row r="131" customFormat="false" ht="25.5" hidden="false" customHeight="true" outlineLevel="0" collapsed="false">
      <c r="A131" s="4" t="s">
        <v>368</v>
      </c>
      <c r="B131" s="4" t="s">
        <v>1665</v>
      </c>
      <c r="C131" s="4" t="s">
        <v>1666</v>
      </c>
      <c r="D131" s="4" t="s">
        <v>1667</v>
      </c>
      <c r="E131" s="4" t="s">
        <v>622</v>
      </c>
    </row>
    <row r="132" customFormat="false" ht="25.5" hidden="false" customHeight="true" outlineLevel="0" collapsed="false">
      <c r="A132" s="5" t="s">
        <v>368</v>
      </c>
      <c r="B132" s="5" t="s">
        <v>1665</v>
      </c>
      <c r="C132" s="5" t="s">
        <v>1668</v>
      </c>
      <c r="D132" s="5" t="s">
        <v>1259</v>
      </c>
      <c r="E132" s="5" t="s">
        <v>622</v>
      </c>
    </row>
    <row r="133" customFormat="false" ht="25.5" hidden="false" customHeight="true" outlineLevel="0" collapsed="false">
      <c r="A133" s="4" t="s">
        <v>368</v>
      </c>
      <c r="B133" s="4" t="s">
        <v>1665</v>
      </c>
      <c r="C133" s="4" t="s">
        <v>1669</v>
      </c>
      <c r="D133" s="4" t="s">
        <v>1670</v>
      </c>
      <c r="E133" s="4" t="s">
        <v>622</v>
      </c>
    </row>
    <row r="134" customFormat="false" ht="25.5" hidden="false" customHeight="true" outlineLevel="0" collapsed="false">
      <c r="A134" s="5" t="s">
        <v>368</v>
      </c>
      <c r="B134" s="5" t="s">
        <v>1665</v>
      </c>
      <c r="C134" s="5" t="s">
        <v>1671</v>
      </c>
      <c r="D134" s="5" t="s">
        <v>1672</v>
      </c>
      <c r="E134" s="5" t="s">
        <v>622</v>
      </c>
    </row>
    <row r="135" customFormat="false" ht="25.5" hidden="false" customHeight="true" outlineLevel="0" collapsed="false">
      <c r="A135" s="4" t="s">
        <v>368</v>
      </c>
      <c r="B135" s="4" t="s">
        <v>1665</v>
      </c>
      <c r="C135" s="4" t="s">
        <v>1673</v>
      </c>
      <c r="D135" s="4" t="s">
        <v>1674</v>
      </c>
      <c r="E135" s="4" t="s">
        <v>622</v>
      </c>
    </row>
    <row r="136" customFormat="false" ht="25.5" hidden="false" customHeight="true" outlineLevel="0" collapsed="false">
      <c r="A136" s="5" t="s">
        <v>368</v>
      </c>
      <c r="B136" s="5" t="s">
        <v>1665</v>
      </c>
      <c r="C136" s="5" t="s">
        <v>1675</v>
      </c>
      <c r="D136" s="5" t="s">
        <v>1676</v>
      </c>
      <c r="E136" s="5" t="s">
        <v>622</v>
      </c>
    </row>
    <row r="137" customFormat="false" ht="25.5" hidden="false" customHeight="true" outlineLevel="0" collapsed="false">
      <c r="A137" s="4" t="s">
        <v>368</v>
      </c>
      <c r="B137" s="4" t="s">
        <v>1665</v>
      </c>
      <c r="C137" s="4" t="s">
        <v>1677</v>
      </c>
      <c r="D137" s="4" t="s">
        <v>1551</v>
      </c>
      <c r="E137" s="4" t="s">
        <v>622</v>
      </c>
    </row>
    <row r="138" customFormat="false" ht="25.5" hidden="false" customHeight="true" outlineLevel="0" collapsed="false">
      <c r="A138" s="5" t="s">
        <v>368</v>
      </c>
      <c r="B138" s="5" t="s">
        <v>1665</v>
      </c>
      <c r="C138" s="5" t="s">
        <v>1678</v>
      </c>
      <c r="D138" s="5" t="s">
        <v>1679</v>
      </c>
      <c r="E138" s="5" t="s">
        <v>622</v>
      </c>
    </row>
    <row r="139" customFormat="false" ht="25.5" hidden="false" customHeight="true" outlineLevel="0" collapsed="false">
      <c r="A139" s="4" t="s">
        <v>368</v>
      </c>
      <c r="B139" s="4" t="s">
        <v>1665</v>
      </c>
      <c r="C139" s="4" t="s">
        <v>1680</v>
      </c>
      <c r="D139" s="4" t="s">
        <v>1681</v>
      </c>
      <c r="E139" s="4" t="s">
        <v>622</v>
      </c>
    </row>
    <row r="140" customFormat="false" ht="25.5" hidden="false" customHeight="true" outlineLevel="0" collapsed="false">
      <c r="A140" s="5" t="s">
        <v>368</v>
      </c>
      <c r="B140" s="5" t="s">
        <v>1665</v>
      </c>
      <c r="C140" s="5" t="s">
        <v>1682</v>
      </c>
      <c r="D140" s="5" t="s">
        <v>1683</v>
      </c>
      <c r="E140" s="5" t="s">
        <v>622</v>
      </c>
    </row>
    <row r="141" customFormat="false" ht="25.5" hidden="false" customHeight="true" outlineLevel="0" collapsed="false">
      <c r="A141" s="4" t="s">
        <v>368</v>
      </c>
      <c r="B141" s="4" t="s">
        <v>1665</v>
      </c>
      <c r="C141" s="4" t="s">
        <v>1684</v>
      </c>
      <c r="D141" s="4" t="s">
        <v>1685</v>
      </c>
      <c r="E141" s="4" t="s">
        <v>622</v>
      </c>
    </row>
    <row r="142" customFormat="false" ht="25.5" hidden="false" customHeight="true" outlineLevel="0" collapsed="false">
      <c r="A142" s="5" t="s">
        <v>368</v>
      </c>
      <c r="B142" s="5" t="s">
        <v>1665</v>
      </c>
      <c r="C142" s="5" t="s">
        <v>1686</v>
      </c>
      <c r="D142" s="5" t="s">
        <v>1687</v>
      </c>
      <c r="E142" s="5" t="s">
        <v>622</v>
      </c>
    </row>
    <row r="143" customFormat="false" ht="25.5" hidden="false" customHeight="true" outlineLevel="0" collapsed="false">
      <c r="A143" s="4" t="s">
        <v>368</v>
      </c>
      <c r="B143" s="4" t="s">
        <v>1688</v>
      </c>
      <c r="C143" s="4" t="s">
        <v>1689</v>
      </c>
      <c r="D143" s="4" t="s">
        <v>1690</v>
      </c>
      <c r="E143" s="4" t="s">
        <v>622</v>
      </c>
    </row>
    <row r="144" customFormat="false" ht="25.5" hidden="false" customHeight="true" outlineLevel="0" collapsed="false">
      <c r="A144" s="5" t="s">
        <v>368</v>
      </c>
      <c r="B144" s="5" t="s">
        <v>1688</v>
      </c>
      <c r="C144" s="5" t="s">
        <v>1691</v>
      </c>
      <c r="D144" s="5" t="s">
        <v>1692</v>
      </c>
      <c r="E144" s="5" t="s">
        <v>622</v>
      </c>
    </row>
    <row r="145" customFormat="false" ht="25.5" hidden="false" customHeight="true" outlineLevel="0" collapsed="false">
      <c r="A145" s="4" t="s">
        <v>368</v>
      </c>
      <c r="B145" s="4" t="s">
        <v>1688</v>
      </c>
      <c r="C145" s="4" t="s">
        <v>1693</v>
      </c>
      <c r="D145" s="4" t="s">
        <v>1694</v>
      </c>
      <c r="E145" s="4" t="s">
        <v>622</v>
      </c>
    </row>
    <row r="146" customFormat="false" ht="25.5" hidden="false" customHeight="true" outlineLevel="0" collapsed="false">
      <c r="A146" s="5" t="s">
        <v>368</v>
      </c>
      <c r="B146" s="5" t="s">
        <v>1688</v>
      </c>
      <c r="C146" s="5" t="s">
        <v>1695</v>
      </c>
      <c r="D146" s="5" t="s">
        <v>1696</v>
      </c>
      <c r="E146" s="5" t="s">
        <v>622</v>
      </c>
    </row>
    <row r="147" customFormat="false" ht="25.5" hidden="false" customHeight="true" outlineLevel="0" collapsed="false">
      <c r="A147" s="4" t="s">
        <v>368</v>
      </c>
      <c r="B147" s="4" t="s">
        <v>1688</v>
      </c>
      <c r="C147" s="4" t="s">
        <v>1697</v>
      </c>
      <c r="D147" s="4" t="s">
        <v>1698</v>
      </c>
      <c r="E147" s="4" t="s">
        <v>622</v>
      </c>
    </row>
    <row r="148" customFormat="false" ht="25.5" hidden="false" customHeight="true" outlineLevel="0" collapsed="false">
      <c r="A148" s="5" t="s">
        <v>770</v>
      </c>
      <c r="B148" s="5" t="s">
        <v>1699</v>
      </c>
      <c r="C148" s="5" t="s">
        <v>1700</v>
      </c>
      <c r="D148" s="5" t="s">
        <v>1701</v>
      </c>
      <c r="E148" s="5" t="s">
        <v>622</v>
      </c>
    </row>
    <row r="149" customFormat="false" ht="25.5" hidden="false" customHeight="true" outlineLevel="0" collapsed="false">
      <c r="A149" s="4" t="s">
        <v>770</v>
      </c>
      <c r="B149" s="4" t="s">
        <v>1699</v>
      </c>
      <c r="C149" s="4" t="s">
        <v>1702</v>
      </c>
      <c r="D149" s="4" t="s">
        <v>1703</v>
      </c>
      <c r="E149" s="4" t="s">
        <v>622</v>
      </c>
    </row>
    <row r="150" customFormat="false" ht="25.5" hidden="false" customHeight="true" outlineLevel="0" collapsed="false">
      <c r="A150" s="5" t="s">
        <v>770</v>
      </c>
      <c r="B150" s="5" t="s">
        <v>1699</v>
      </c>
      <c r="C150" s="5" t="s">
        <v>1704</v>
      </c>
      <c r="D150" s="5" t="s">
        <v>1490</v>
      </c>
      <c r="E150" s="5" t="s">
        <v>622</v>
      </c>
    </row>
    <row r="151" customFormat="false" ht="25.5" hidden="false" customHeight="true" outlineLevel="0" collapsed="false">
      <c r="A151" s="4" t="s">
        <v>770</v>
      </c>
      <c r="B151" s="4" t="s">
        <v>1699</v>
      </c>
      <c r="C151" s="4" t="s">
        <v>1705</v>
      </c>
      <c r="D151" s="4" t="s">
        <v>1706</v>
      </c>
      <c r="E151" s="4" t="s">
        <v>622</v>
      </c>
    </row>
    <row r="152" customFormat="false" ht="25.5" hidden="false" customHeight="true" outlineLevel="0" collapsed="false">
      <c r="A152" s="5" t="s">
        <v>770</v>
      </c>
      <c r="B152" s="5" t="s">
        <v>1699</v>
      </c>
      <c r="C152" s="5" t="s">
        <v>1707</v>
      </c>
      <c r="D152" s="5" t="s">
        <v>1708</v>
      </c>
      <c r="E152" s="5" t="s">
        <v>622</v>
      </c>
    </row>
    <row r="153" customFormat="false" ht="25.5" hidden="false" customHeight="true" outlineLevel="0" collapsed="false">
      <c r="A153" s="4" t="s">
        <v>770</v>
      </c>
      <c r="B153" s="4" t="s">
        <v>1699</v>
      </c>
      <c r="C153" s="4" t="s">
        <v>1709</v>
      </c>
      <c r="D153" s="4" t="s">
        <v>1710</v>
      </c>
      <c r="E153" s="4" t="s">
        <v>622</v>
      </c>
    </row>
    <row r="154" customFormat="false" ht="25.5" hidden="false" customHeight="true" outlineLevel="0" collapsed="false">
      <c r="A154" s="5" t="s">
        <v>770</v>
      </c>
      <c r="B154" s="5" t="s">
        <v>1699</v>
      </c>
      <c r="C154" s="5" t="s">
        <v>1711</v>
      </c>
      <c r="D154" s="5" t="s">
        <v>1576</v>
      </c>
      <c r="E154" s="5" t="s">
        <v>622</v>
      </c>
    </row>
    <row r="155" customFormat="false" ht="25.5" hidden="false" customHeight="true" outlineLevel="0" collapsed="false">
      <c r="A155" s="4" t="s">
        <v>770</v>
      </c>
      <c r="B155" s="4" t="s">
        <v>1699</v>
      </c>
      <c r="C155" s="4" t="s">
        <v>1712</v>
      </c>
      <c r="D155" s="4" t="s">
        <v>1713</v>
      </c>
      <c r="E155" s="4" t="s">
        <v>622</v>
      </c>
    </row>
    <row r="156" customFormat="false" ht="25.5" hidden="false" customHeight="true" outlineLevel="0" collapsed="false">
      <c r="A156" s="5" t="s">
        <v>770</v>
      </c>
      <c r="B156" s="5" t="s">
        <v>1699</v>
      </c>
      <c r="C156" s="5" t="s">
        <v>1714</v>
      </c>
      <c r="D156" s="5" t="s">
        <v>1715</v>
      </c>
      <c r="E156" s="5" t="s">
        <v>622</v>
      </c>
    </row>
    <row r="157" customFormat="false" ht="25.5" hidden="false" customHeight="true" outlineLevel="0" collapsed="false">
      <c r="A157" s="4" t="s">
        <v>770</v>
      </c>
      <c r="B157" s="4" t="s">
        <v>1699</v>
      </c>
      <c r="C157" s="4" t="s">
        <v>1716</v>
      </c>
      <c r="D157" s="4" t="s">
        <v>1717</v>
      </c>
      <c r="E157" s="4" t="s">
        <v>622</v>
      </c>
    </row>
    <row r="158" customFormat="false" ht="25.5" hidden="false" customHeight="true" outlineLevel="0" collapsed="false">
      <c r="A158" s="5" t="s">
        <v>770</v>
      </c>
      <c r="B158" s="5" t="s">
        <v>1699</v>
      </c>
      <c r="C158" s="5" t="s">
        <v>1718</v>
      </c>
      <c r="D158" s="5" t="s">
        <v>1719</v>
      </c>
      <c r="E158" s="5" t="s">
        <v>622</v>
      </c>
    </row>
    <row r="159" customFormat="false" ht="25.5" hidden="false" customHeight="true" outlineLevel="0" collapsed="false">
      <c r="A159" s="4" t="s">
        <v>770</v>
      </c>
      <c r="B159" s="4" t="s">
        <v>1699</v>
      </c>
      <c r="C159" s="4" t="s">
        <v>1720</v>
      </c>
      <c r="D159" s="4" t="s">
        <v>1701</v>
      </c>
      <c r="E159" s="4" t="s">
        <v>622</v>
      </c>
    </row>
    <row r="160" customFormat="false" ht="25.5" hidden="false" customHeight="true" outlineLevel="0" collapsed="false">
      <c r="A160" s="5" t="s">
        <v>770</v>
      </c>
      <c r="B160" s="5" t="s">
        <v>1699</v>
      </c>
      <c r="C160" s="5" t="s">
        <v>1721</v>
      </c>
      <c r="D160" s="5" t="s">
        <v>1722</v>
      </c>
      <c r="E160" s="5" t="s">
        <v>622</v>
      </c>
    </row>
    <row r="161" customFormat="false" ht="25.5" hidden="false" customHeight="true" outlineLevel="0" collapsed="false">
      <c r="A161" s="4" t="s">
        <v>770</v>
      </c>
      <c r="B161" s="4" t="s">
        <v>1699</v>
      </c>
      <c r="C161" s="4" t="s">
        <v>1723</v>
      </c>
      <c r="D161" s="4" t="s">
        <v>1724</v>
      </c>
      <c r="E161" s="4" t="s">
        <v>622</v>
      </c>
    </row>
    <row r="162" customFormat="false" ht="25.5" hidden="false" customHeight="true" outlineLevel="0" collapsed="false">
      <c r="A162" s="5" t="s">
        <v>770</v>
      </c>
      <c r="B162" s="5" t="s">
        <v>1699</v>
      </c>
      <c r="C162" s="5" t="s">
        <v>1725</v>
      </c>
      <c r="D162" s="5" t="s">
        <v>1726</v>
      </c>
      <c r="E162" s="5" t="s">
        <v>622</v>
      </c>
    </row>
    <row r="163" customFormat="false" ht="25.5" hidden="false" customHeight="true" outlineLevel="0" collapsed="false">
      <c r="A163" s="4" t="s">
        <v>770</v>
      </c>
      <c r="B163" s="4" t="s">
        <v>1699</v>
      </c>
      <c r="C163" s="4" t="s">
        <v>1727</v>
      </c>
      <c r="D163" s="4" t="s">
        <v>1728</v>
      </c>
      <c r="E163" s="4" t="s">
        <v>622</v>
      </c>
    </row>
    <row r="164" customFormat="false" ht="25.5" hidden="false" customHeight="true" outlineLevel="0" collapsed="false">
      <c r="A164" s="5" t="s">
        <v>770</v>
      </c>
      <c r="B164" s="5" t="s">
        <v>1699</v>
      </c>
      <c r="C164" s="5" t="s">
        <v>1729</v>
      </c>
      <c r="D164" s="5" t="s">
        <v>1730</v>
      </c>
      <c r="E164" s="5" t="s">
        <v>622</v>
      </c>
    </row>
    <row r="165" customFormat="false" ht="25.5" hidden="false" customHeight="true" outlineLevel="0" collapsed="false">
      <c r="A165" s="4" t="s">
        <v>770</v>
      </c>
      <c r="B165" s="4" t="s">
        <v>1699</v>
      </c>
      <c r="C165" s="4" t="s">
        <v>1731</v>
      </c>
      <c r="D165" s="4" t="s">
        <v>1732</v>
      </c>
      <c r="E165" s="4" t="s">
        <v>622</v>
      </c>
    </row>
    <row r="166" customFormat="false" ht="25.5" hidden="false" customHeight="true" outlineLevel="0" collapsed="false">
      <c r="A166" s="5" t="s">
        <v>770</v>
      </c>
      <c r="B166" s="5" t="s">
        <v>1699</v>
      </c>
      <c r="C166" s="5" t="s">
        <v>1733</v>
      </c>
      <c r="D166" s="5" t="s">
        <v>1734</v>
      </c>
      <c r="E166" s="5" t="s">
        <v>622</v>
      </c>
    </row>
    <row r="167" customFormat="false" ht="25.5" hidden="false" customHeight="true" outlineLevel="0" collapsed="false">
      <c r="A167" s="4" t="s">
        <v>770</v>
      </c>
      <c r="B167" s="4" t="s">
        <v>1699</v>
      </c>
      <c r="C167" s="4" t="s">
        <v>1735</v>
      </c>
      <c r="D167" s="4" t="s">
        <v>1736</v>
      </c>
      <c r="E167" s="4" t="s">
        <v>622</v>
      </c>
    </row>
    <row r="168" customFormat="false" ht="25.5" hidden="false" customHeight="true" outlineLevel="0" collapsed="false">
      <c r="A168" s="5" t="s">
        <v>770</v>
      </c>
      <c r="B168" s="5" t="s">
        <v>1699</v>
      </c>
      <c r="C168" s="5" t="s">
        <v>1737</v>
      </c>
      <c r="D168" s="5" t="s">
        <v>1738</v>
      </c>
      <c r="E168" s="5" t="s">
        <v>622</v>
      </c>
    </row>
    <row r="169" customFormat="false" ht="25.5" hidden="false" customHeight="true" outlineLevel="0" collapsed="false">
      <c r="A169" s="4" t="s">
        <v>770</v>
      </c>
      <c r="B169" s="4" t="s">
        <v>1699</v>
      </c>
      <c r="C169" s="4" t="s">
        <v>1739</v>
      </c>
      <c r="D169" s="4" t="s">
        <v>1740</v>
      </c>
      <c r="E169" s="4" t="s">
        <v>622</v>
      </c>
    </row>
  </sheetData>
  <autoFilter ref="A4: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6"/>
    <col collapsed="false" customWidth="true" hidden="false" outlineLevel="0" max="4" min="4" style="0" width="90"/>
    <col collapsed="false" customWidth="true" hidden="false" outlineLevel="0" max="5" min="5" style="0" width="22"/>
    <col collapsed="false" customWidth="true" hidden="false" outlineLevel="0" max="6" min="6" style="0" width="32"/>
    <col collapsed="false" customWidth="true" hidden="false" outlineLevel="0" max="7" min="7" style="0" width="60"/>
    <col collapsed="false" customWidth="true" hidden="false" outlineLevel="0" max="8" min="8" style="0" width="40"/>
  </cols>
  <sheetData>
    <row r="1" customFormat="false" ht="17.35" hidden="false" customHeight="false" outlineLevel="0" collapsed="false">
      <c r="A1" s="1" t="s">
        <v>1741</v>
      </c>
    </row>
    <row r="2" customFormat="false" ht="15" hidden="false" customHeight="false" outlineLevel="0" collapsed="false">
      <c r="A2" s="2" t="s">
        <v>1742</v>
      </c>
    </row>
    <row r="4" customFormat="false" ht="30" hidden="false" customHeight="true" outlineLevel="0" collapsed="false">
      <c r="A4" s="3" t="s">
        <v>1743</v>
      </c>
      <c r="B4" s="3" t="s">
        <v>1744</v>
      </c>
      <c r="C4" s="3" t="s">
        <v>1745</v>
      </c>
      <c r="D4" s="3" t="s">
        <v>1746</v>
      </c>
      <c r="E4" s="3" t="s">
        <v>862</v>
      </c>
      <c r="F4" s="3" t="s">
        <v>1747</v>
      </c>
      <c r="G4" s="3" t="s">
        <v>1748</v>
      </c>
      <c r="H4" s="3" t="s">
        <v>1749</v>
      </c>
    </row>
    <row r="5" customFormat="false" ht="54" hidden="false" customHeight="true" outlineLevel="0" collapsed="false">
      <c r="A5" s="4" t="s">
        <v>1750</v>
      </c>
      <c r="B5" s="4" t="s">
        <v>1751</v>
      </c>
      <c r="C5" s="4" t="s">
        <v>1752</v>
      </c>
      <c r="D5" s="4" t="s">
        <v>1753</v>
      </c>
      <c r="E5" s="4" t="s">
        <v>873</v>
      </c>
      <c r="F5" s="4" t="s">
        <v>622</v>
      </c>
      <c r="G5" s="4" t="s">
        <v>1754</v>
      </c>
      <c r="H5" s="4" t="s">
        <v>1755</v>
      </c>
    </row>
    <row r="6" customFormat="false" ht="54" hidden="false" customHeight="true" outlineLevel="0" collapsed="false">
      <c r="A6" s="5" t="s">
        <v>1756</v>
      </c>
      <c r="B6" s="5" t="s">
        <v>1757</v>
      </c>
      <c r="C6" s="5" t="s">
        <v>1758</v>
      </c>
      <c r="D6" s="5" t="s">
        <v>1759</v>
      </c>
      <c r="E6" s="5" t="s">
        <v>873</v>
      </c>
      <c r="F6" s="5" t="s">
        <v>622</v>
      </c>
      <c r="G6" s="5" t="s">
        <v>1760</v>
      </c>
      <c r="H6" s="5" t="s">
        <v>1761</v>
      </c>
    </row>
    <row r="7" customFormat="false" ht="54" hidden="false" customHeight="true" outlineLevel="0" collapsed="false">
      <c r="A7" s="4" t="s">
        <v>1762</v>
      </c>
      <c r="B7" s="4" t="s">
        <v>1763</v>
      </c>
      <c r="C7" s="4" t="s">
        <v>1764</v>
      </c>
      <c r="D7" s="4" t="s">
        <v>1765</v>
      </c>
      <c r="E7" s="4" t="s">
        <v>873</v>
      </c>
      <c r="F7" s="4" t="s">
        <v>622</v>
      </c>
      <c r="G7" s="4" t="s">
        <v>1766</v>
      </c>
      <c r="H7" s="4" t="s">
        <v>1767</v>
      </c>
    </row>
    <row r="8" customFormat="false" ht="54" hidden="false" customHeight="true" outlineLevel="0" collapsed="false">
      <c r="A8" s="5" t="s">
        <v>1768</v>
      </c>
      <c r="B8" s="5" t="s">
        <v>1769</v>
      </c>
      <c r="C8" s="5" t="s">
        <v>150</v>
      </c>
      <c r="D8" s="5" t="s">
        <v>1770</v>
      </c>
      <c r="E8" s="5" t="s">
        <v>873</v>
      </c>
      <c r="F8" s="5" t="s">
        <v>622</v>
      </c>
      <c r="G8" s="5" t="s">
        <v>1771</v>
      </c>
      <c r="H8" s="5" t="s">
        <v>1772</v>
      </c>
    </row>
    <row r="9" customFormat="false" ht="54" hidden="false" customHeight="true" outlineLevel="0" collapsed="false">
      <c r="A9" s="4" t="s">
        <v>1773</v>
      </c>
      <c r="B9" s="4" t="s">
        <v>1774</v>
      </c>
      <c r="C9" s="4" t="s">
        <v>496</v>
      </c>
      <c r="D9" s="4" t="s">
        <v>1775</v>
      </c>
      <c r="E9" s="4" t="s">
        <v>873</v>
      </c>
      <c r="F9" s="4" t="s">
        <v>622</v>
      </c>
      <c r="G9" s="4" t="s">
        <v>1776</v>
      </c>
      <c r="H9" s="4" t="s">
        <v>1777</v>
      </c>
    </row>
    <row r="10" customFormat="false" ht="54" hidden="false" customHeight="true" outlineLevel="0" collapsed="false">
      <c r="A10" s="5" t="s">
        <v>1778</v>
      </c>
      <c r="B10" s="5" t="s">
        <v>1757</v>
      </c>
      <c r="C10" s="5" t="s">
        <v>1779</v>
      </c>
      <c r="D10" s="5" t="s">
        <v>1780</v>
      </c>
      <c r="E10" s="5" t="s">
        <v>873</v>
      </c>
      <c r="F10" s="5" t="s">
        <v>622</v>
      </c>
      <c r="G10" s="5" t="s">
        <v>1781</v>
      </c>
      <c r="H10" s="5" t="s">
        <v>1782</v>
      </c>
    </row>
    <row r="11" customFormat="false" ht="54" hidden="false" customHeight="true" outlineLevel="0" collapsed="false">
      <c r="A11" s="4" t="s">
        <v>1783</v>
      </c>
      <c r="B11" s="4" t="s">
        <v>1757</v>
      </c>
      <c r="C11" s="4" t="s">
        <v>1784</v>
      </c>
      <c r="D11" s="4" t="s">
        <v>1785</v>
      </c>
      <c r="E11" s="4" t="s">
        <v>873</v>
      </c>
      <c r="F11" s="4" t="s">
        <v>622</v>
      </c>
      <c r="G11" s="4" t="s">
        <v>1786</v>
      </c>
      <c r="H11" s="4" t="s">
        <v>1787</v>
      </c>
    </row>
    <row r="12" customFormat="false" ht="54" hidden="false" customHeight="true" outlineLevel="0" collapsed="false">
      <c r="A12" s="5" t="s">
        <v>1788</v>
      </c>
      <c r="B12" s="5" t="s">
        <v>1757</v>
      </c>
      <c r="C12" s="5" t="s">
        <v>1789</v>
      </c>
      <c r="D12" s="5" t="s">
        <v>1790</v>
      </c>
      <c r="E12" s="5" t="s">
        <v>873</v>
      </c>
      <c r="F12" s="5" t="s">
        <v>622</v>
      </c>
      <c r="G12" s="5" t="s">
        <v>1791</v>
      </c>
      <c r="H12" s="5" t="s">
        <v>1755</v>
      </c>
    </row>
    <row r="13" customFormat="false" ht="54" hidden="false" customHeight="true" outlineLevel="0" collapsed="false">
      <c r="A13" s="4" t="s">
        <v>1792</v>
      </c>
      <c r="B13" s="4" t="s">
        <v>1757</v>
      </c>
      <c r="C13" s="4" t="s">
        <v>1793</v>
      </c>
      <c r="D13" s="4" t="s">
        <v>1794</v>
      </c>
      <c r="E13" s="4" t="s">
        <v>873</v>
      </c>
      <c r="F13" s="4" t="s">
        <v>622</v>
      </c>
      <c r="G13" s="4" t="s">
        <v>1795</v>
      </c>
      <c r="H13" s="4" t="s">
        <v>1796</v>
      </c>
    </row>
    <row r="14" customFormat="false" ht="54" hidden="false" customHeight="true" outlineLevel="0" collapsed="false">
      <c r="A14" s="5" t="s">
        <v>1797</v>
      </c>
      <c r="B14" s="5" t="s">
        <v>1798</v>
      </c>
      <c r="C14" s="5" t="s">
        <v>1799</v>
      </c>
      <c r="D14" s="5" t="s">
        <v>1800</v>
      </c>
      <c r="E14" s="5" t="s">
        <v>873</v>
      </c>
      <c r="F14" s="5" t="s">
        <v>622</v>
      </c>
      <c r="G14" s="5" t="s">
        <v>1801</v>
      </c>
      <c r="H14" s="5" t="s">
        <v>1755</v>
      </c>
    </row>
    <row r="15" customFormat="false" ht="54" hidden="false" customHeight="true" outlineLevel="0" collapsed="false">
      <c r="A15" s="4" t="s">
        <v>1802</v>
      </c>
      <c r="B15" s="4" t="s">
        <v>1757</v>
      </c>
      <c r="C15" s="4" t="s">
        <v>1803</v>
      </c>
      <c r="D15" s="4" t="s">
        <v>1804</v>
      </c>
      <c r="E15" s="4" t="s">
        <v>873</v>
      </c>
      <c r="F15" s="4" t="s">
        <v>622</v>
      </c>
      <c r="G15" s="4" t="s">
        <v>1805</v>
      </c>
      <c r="H15" s="4" t="s">
        <v>1755</v>
      </c>
    </row>
    <row r="16" customFormat="false" ht="54" hidden="false" customHeight="true" outlineLevel="0" collapsed="false">
      <c r="A16" s="5" t="s">
        <v>1806</v>
      </c>
      <c r="B16" s="5" t="s">
        <v>1757</v>
      </c>
      <c r="C16" s="5" t="s">
        <v>1807</v>
      </c>
      <c r="D16" s="5" t="s">
        <v>1808</v>
      </c>
      <c r="E16" s="5" t="s">
        <v>873</v>
      </c>
      <c r="F16" s="5" t="s">
        <v>622</v>
      </c>
      <c r="G16" s="5" t="s">
        <v>1809</v>
      </c>
      <c r="H16" s="5" t="s">
        <v>1810</v>
      </c>
    </row>
    <row r="17" customFormat="false" ht="54" hidden="false" customHeight="true" outlineLevel="0" collapsed="false">
      <c r="A17" s="4" t="s">
        <v>1811</v>
      </c>
      <c r="B17" s="4" t="s">
        <v>1812</v>
      </c>
      <c r="C17" s="4" t="s">
        <v>1813</v>
      </c>
      <c r="D17" s="4" t="s">
        <v>1814</v>
      </c>
      <c r="E17" s="4" t="s">
        <v>1139</v>
      </c>
      <c r="F17" s="4" t="s">
        <v>622</v>
      </c>
      <c r="G17" s="4" t="s">
        <v>1815</v>
      </c>
      <c r="H17" s="4" t="s">
        <v>1816</v>
      </c>
    </row>
    <row r="18" customFormat="false" ht="54" hidden="false" customHeight="true" outlineLevel="0" collapsed="false">
      <c r="A18" s="5" t="s">
        <v>1817</v>
      </c>
      <c r="B18" s="5" t="s">
        <v>1818</v>
      </c>
      <c r="C18" s="5" t="s">
        <v>1819</v>
      </c>
      <c r="D18" s="5" t="s">
        <v>1820</v>
      </c>
      <c r="E18" s="5" t="s">
        <v>1139</v>
      </c>
      <c r="F18" s="5" t="s">
        <v>622</v>
      </c>
      <c r="G18" s="5" t="s">
        <v>1821</v>
      </c>
      <c r="H18" s="5" t="s">
        <v>1822</v>
      </c>
    </row>
    <row r="19" customFormat="false" ht="54" hidden="false" customHeight="true" outlineLevel="0" collapsed="false">
      <c r="A19" s="4" t="s">
        <v>1823</v>
      </c>
      <c r="B19" s="4" t="s">
        <v>1824</v>
      </c>
      <c r="C19" s="4" t="s">
        <v>1825</v>
      </c>
      <c r="D19" s="4" t="s">
        <v>1826</v>
      </c>
      <c r="E19" s="4" t="s">
        <v>873</v>
      </c>
      <c r="F19" s="4" t="s">
        <v>622</v>
      </c>
      <c r="G19" s="4" t="s">
        <v>1827</v>
      </c>
      <c r="H19" s="4" t="s">
        <v>1828</v>
      </c>
    </row>
    <row r="20" customFormat="false" ht="54" hidden="false" customHeight="true" outlineLevel="0" collapsed="false">
      <c r="A20" s="5" t="s">
        <v>1829</v>
      </c>
      <c r="B20" s="5" t="s">
        <v>1830</v>
      </c>
      <c r="C20" s="5" t="s">
        <v>1831</v>
      </c>
      <c r="D20" s="5" t="s">
        <v>1832</v>
      </c>
      <c r="E20" s="5" t="s">
        <v>880</v>
      </c>
      <c r="F20" s="5" t="s">
        <v>622</v>
      </c>
      <c r="G20" s="5" t="s">
        <v>1833</v>
      </c>
      <c r="H20" s="5" t="s">
        <v>1834</v>
      </c>
    </row>
    <row r="21" customFormat="false" ht="54" hidden="false" customHeight="true" outlineLevel="0" collapsed="false">
      <c r="A21" s="4" t="s">
        <v>1835</v>
      </c>
      <c r="B21" s="4" t="s">
        <v>1836</v>
      </c>
      <c r="C21" s="4" t="s">
        <v>1837</v>
      </c>
      <c r="D21" s="4" t="s">
        <v>1838</v>
      </c>
      <c r="E21" s="4" t="s">
        <v>1839</v>
      </c>
      <c r="F21" s="4" t="s">
        <v>1840</v>
      </c>
      <c r="G21" s="4" t="s">
        <v>1841</v>
      </c>
      <c r="H21" s="4" t="s">
        <v>1842</v>
      </c>
    </row>
    <row r="22" customFormat="false" ht="54" hidden="false" customHeight="true" outlineLevel="0" collapsed="false">
      <c r="A22" s="5" t="s">
        <v>1843</v>
      </c>
      <c r="B22" s="5" t="s">
        <v>1844</v>
      </c>
      <c r="C22" s="5" t="s">
        <v>1845</v>
      </c>
      <c r="D22" s="5" t="s">
        <v>1846</v>
      </c>
      <c r="E22" s="5" t="s">
        <v>1105</v>
      </c>
      <c r="F22" s="5" t="s">
        <v>622</v>
      </c>
      <c r="G22" s="5" t="s">
        <v>1847</v>
      </c>
      <c r="H22" s="5" t="s">
        <v>1848</v>
      </c>
    </row>
  </sheetData>
  <autoFilter ref="A4:H4"/>
  <conditionalFormatting sqref="F5:F22">
    <cfRule type="cellIs" priority="2" operator="equal" aboveAverage="0" equalAverage="0" bottom="0" percent="0" rank="0" text="" dxfId="5">
      <formula>"Verified — primary source"</formula>
    </cfRule>
    <cfRule type="cellIs" priority="3" operator="equal" aboveAverage="0" equalAverage="0" bottom="0" percent="0" rank="0" text="" dxfId="4">
      <formula>"Verified — secondary source"</formula>
    </cfRule>
    <cfRule type="cellIs" priority="4" operator="equal" aboveAverage="0" equalAverage="0" bottom="0" percent="0" rank="0" text="" dxfId="2">
      <formula>"Unverified — not independently confirmed"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H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3" min="2" style="0" width="62"/>
    <col collapsed="false" customWidth="true" hidden="false" outlineLevel="0" max="4" min="4" style="0" width="70"/>
    <col collapsed="false" customWidth="true" hidden="false" outlineLevel="0" max="5" min="5" style="0" width="50"/>
    <col collapsed="false" customWidth="true" hidden="false" outlineLevel="0" max="6" min="6" style="0" width="42"/>
    <col collapsed="false" customWidth="true" hidden="false" outlineLevel="0" max="7" min="7" style="0" width="11"/>
    <col collapsed="false" customWidth="true" hidden="false" outlineLevel="0" max="8" min="8" style="0" width="30"/>
  </cols>
  <sheetData>
    <row r="1" customFormat="false" ht="17.35" hidden="false" customHeight="false" outlineLevel="0" collapsed="false">
      <c r="A1" s="1" t="s">
        <v>1849</v>
      </c>
    </row>
    <row r="2" customFormat="false" ht="15" hidden="false" customHeight="false" outlineLevel="0" collapsed="false">
      <c r="A2" s="2" t="s">
        <v>1850</v>
      </c>
    </row>
    <row r="4" customFormat="false" ht="30" hidden="false" customHeight="true" outlineLevel="0" collapsed="false">
      <c r="A4" s="3" t="s">
        <v>857</v>
      </c>
      <c r="B4" s="3" t="s">
        <v>1851</v>
      </c>
      <c r="C4" s="3" t="s">
        <v>1852</v>
      </c>
      <c r="D4" s="3" t="s">
        <v>1853</v>
      </c>
      <c r="E4" s="3" t="s">
        <v>1854</v>
      </c>
      <c r="F4" s="3" t="s">
        <v>1855</v>
      </c>
      <c r="G4" s="3" t="s">
        <v>1856</v>
      </c>
      <c r="H4" s="3" t="s">
        <v>277</v>
      </c>
    </row>
    <row r="5" customFormat="false" ht="57.75" hidden="false" customHeight="true" outlineLevel="0" collapsed="false">
      <c r="A5" s="4" t="s">
        <v>1857</v>
      </c>
      <c r="B5" s="4" t="s">
        <v>1858</v>
      </c>
      <c r="C5" s="4" t="s">
        <v>1859</v>
      </c>
      <c r="D5" s="4" t="s">
        <v>1860</v>
      </c>
      <c r="E5" s="4" t="s">
        <v>1861</v>
      </c>
      <c r="F5" s="4" t="s">
        <v>1862</v>
      </c>
      <c r="G5" s="4" t="s">
        <v>124</v>
      </c>
      <c r="H5" s="4" t="s">
        <v>1863</v>
      </c>
    </row>
    <row r="6" customFormat="false" ht="57.75" hidden="false" customHeight="true" outlineLevel="0" collapsed="false">
      <c r="A6" s="5" t="s">
        <v>1864</v>
      </c>
      <c r="B6" s="5" t="s">
        <v>1865</v>
      </c>
      <c r="C6" s="5" t="s">
        <v>1866</v>
      </c>
      <c r="D6" s="5" t="s">
        <v>1867</v>
      </c>
      <c r="E6" s="5" t="s">
        <v>1868</v>
      </c>
      <c r="F6" s="5" t="s">
        <v>1766</v>
      </c>
      <c r="G6" s="5" t="s">
        <v>124</v>
      </c>
      <c r="H6" s="5" t="s">
        <v>1863</v>
      </c>
    </row>
    <row r="7" customFormat="false" ht="57.75" hidden="false" customHeight="true" outlineLevel="0" collapsed="false">
      <c r="A7" s="4" t="s">
        <v>1869</v>
      </c>
      <c r="B7" s="4" t="s">
        <v>1870</v>
      </c>
      <c r="C7" s="4" t="s">
        <v>1871</v>
      </c>
      <c r="D7" s="4" t="s">
        <v>1872</v>
      </c>
      <c r="E7" s="4" t="s">
        <v>1873</v>
      </c>
      <c r="F7" s="4" t="s">
        <v>1874</v>
      </c>
      <c r="G7" s="4" t="s">
        <v>126</v>
      </c>
      <c r="H7" s="4" t="s">
        <v>1863</v>
      </c>
    </row>
    <row r="8" customFormat="false" ht="57.75" hidden="false" customHeight="true" outlineLevel="0" collapsed="false">
      <c r="A8" s="5" t="s">
        <v>1875</v>
      </c>
      <c r="B8" s="5" t="s">
        <v>1876</v>
      </c>
      <c r="C8" s="5" t="s">
        <v>1877</v>
      </c>
      <c r="D8" s="5" t="s">
        <v>1878</v>
      </c>
      <c r="E8" s="5" t="s">
        <v>1879</v>
      </c>
      <c r="F8" s="5" t="s">
        <v>1880</v>
      </c>
      <c r="G8" s="5" t="s">
        <v>126</v>
      </c>
      <c r="H8" s="5" t="s">
        <v>1863</v>
      </c>
    </row>
    <row r="9" customFormat="false" ht="57.75" hidden="false" customHeight="true" outlineLevel="0" collapsed="false">
      <c r="A9" s="4" t="s">
        <v>1881</v>
      </c>
      <c r="B9" s="4" t="s">
        <v>1882</v>
      </c>
      <c r="C9" s="4" t="s">
        <v>1883</v>
      </c>
      <c r="D9" s="4" t="s">
        <v>1884</v>
      </c>
      <c r="E9" s="4" t="s">
        <v>1885</v>
      </c>
      <c r="F9" s="4" t="s">
        <v>1886</v>
      </c>
      <c r="G9" s="4" t="s">
        <v>124</v>
      </c>
      <c r="H9" s="4" t="s">
        <v>1863</v>
      </c>
    </row>
    <row r="10" customFormat="false" ht="57.75" hidden="false" customHeight="true" outlineLevel="0" collapsed="false">
      <c r="A10" s="5" t="s">
        <v>1887</v>
      </c>
      <c r="B10" s="5" t="s">
        <v>1888</v>
      </c>
      <c r="C10" s="5" t="s">
        <v>1889</v>
      </c>
      <c r="D10" s="5" t="s">
        <v>1890</v>
      </c>
      <c r="E10" s="5" t="s">
        <v>1891</v>
      </c>
      <c r="F10" s="5" t="s">
        <v>1892</v>
      </c>
      <c r="G10" s="5" t="s">
        <v>124</v>
      </c>
      <c r="H10" s="5" t="s">
        <v>1863</v>
      </c>
    </row>
    <row r="11" customFormat="false" ht="57.75" hidden="false" customHeight="true" outlineLevel="0" collapsed="false">
      <c r="A11" s="4" t="s">
        <v>1893</v>
      </c>
      <c r="B11" s="4" t="s">
        <v>1894</v>
      </c>
      <c r="C11" s="4" t="s">
        <v>1895</v>
      </c>
      <c r="D11" s="4" t="s">
        <v>1896</v>
      </c>
      <c r="E11" s="4" t="s">
        <v>1897</v>
      </c>
      <c r="F11" s="4" t="s">
        <v>1795</v>
      </c>
      <c r="G11" s="4" t="s">
        <v>126</v>
      </c>
      <c r="H11" s="4" t="s">
        <v>1863</v>
      </c>
    </row>
    <row r="12" customFormat="false" ht="57.75" hidden="false" customHeight="true" outlineLevel="0" collapsed="false">
      <c r="A12" s="5" t="s">
        <v>1898</v>
      </c>
      <c r="B12" s="5" t="s">
        <v>1899</v>
      </c>
      <c r="C12" s="5" t="s">
        <v>1900</v>
      </c>
      <c r="D12" s="5" t="s">
        <v>1901</v>
      </c>
      <c r="E12" s="5" t="s">
        <v>1902</v>
      </c>
      <c r="F12" s="5" t="s">
        <v>1903</v>
      </c>
      <c r="G12" s="5" t="s">
        <v>126</v>
      </c>
      <c r="H12" s="5" t="s">
        <v>1863</v>
      </c>
    </row>
    <row r="13" customFormat="false" ht="57.75" hidden="false" customHeight="true" outlineLevel="0" collapsed="false">
      <c r="A13" s="4" t="s">
        <v>1904</v>
      </c>
      <c r="B13" s="4" t="s">
        <v>1905</v>
      </c>
      <c r="C13" s="4" t="s">
        <v>1906</v>
      </c>
      <c r="D13" s="4" t="s">
        <v>1907</v>
      </c>
      <c r="E13" s="4" t="s">
        <v>1908</v>
      </c>
      <c r="F13" s="4" t="s">
        <v>1909</v>
      </c>
      <c r="G13" s="4" t="s">
        <v>124</v>
      </c>
      <c r="H13" s="4" t="s">
        <v>1863</v>
      </c>
    </row>
    <row r="14" customFormat="false" ht="57.75" hidden="false" customHeight="true" outlineLevel="0" collapsed="false">
      <c r="A14" s="5" t="s">
        <v>1910</v>
      </c>
      <c r="B14" s="5" t="s">
        <v>1911</v>
      </c>
      <c r="C14" s="5" t="s">
        <v>1912</v>
      </c>
      <c r="D14" s="5" t="s">
        <v>1913</v>
      </c>
      <c r="E14" s="5" t="s">
        <v>1914</v>
      </c>
      <c r="F14" s="5" t="s">
        <v>1915</v>
      </c>
      <c r="G14" s="5" t="s">
        <v>126</v>
      </c>
      <c r="H14" s="5" t="s">
        <v>1863</v>
      </c>
    </row>
    <row r="15" customFormat="false" ht="57.75" hidden="false" customHeight="true" outlineLevel="0" collapsed="false">
      <c r="A15" s="4" t="s">
        <v>1916</v>
      </c>
      <c r="B15" s="4" t="s">
        <v>1917</v>
      </c>
      <c r="C15" s="4" t="s">
        <v>1918</v>
      </c>
      <c r="D15" s="4" t="s">
        <v>1919</v>
      </c>
      <c r="E15" s="4" t="s">
        <v>1920</v>
      </c>
      <c r="F15" s="4" t="s">
        <v>1921</v>
      </c>
      <c r="G15" s="4" t="s">
        <v>126</v>
      </c>
      <c r="H15" s="4" t="s">
        <v>1863</v>
      </c>
    </row>
    <row r="16" customFormat="false" ht="57.75" hidden="false" customHeight="true" outlineLevel="0" collapsed="false">
      <c r="A16" s="5" t="s">
        <v>1922</v>
      </c>
      <c r="B16" s="5" t="s">
        <v>1923</v>
      </c>
      <c r="C16" s="5" t="s">
        <v>1924</v>
      </c>
      <c r="D16" s="5" t="s">
        <v>1925</v>
      </c>
      <c r="E16" s="5" t="s">
        <v>1926</v>
      </c>
      <c r="F16" s="5" t="s">
        <v>1927</v>
      </c>
      <c r="G16" s="5" t="s">
        <v>126</v>
      </c>
      <c r="H16" s="5" t="s">
        <v>1863</v>
      </c>
    </row>
    <row r="17" customFormat="false" ht="57.75" hidden="false" customHeight="true" outlineLevel="0" collapsed="false">
      <c r="A17" s="4" t="s">
        <v>1928</v>
      </c>
      <c r="B17" s="4" t="s">
        <v>1929</v>
      </c>
      <c r="C17" s="4" t="s">
        <v>1930</v>
      </c>
      <c r="D17" s="4" t="s">
        <v>1931</v>
      </c>
      <c r="E17" s="4" t="s">
        <v>1932</v>
      </c>
      <c r="F17" s="4" t="s">
        <v>1933</v>
      </c>
      <c r="G17" s="4" t="s">
        <v>124</v>
      </c>
      <c r="H17" s="4" t="s">
        <v>1863</v>
      </c>
    </row>
    <row r="18" customFormat="false" ht="57.75" hidden="false" customHeight="true" outlineLevel="0" collapsed="false">
      <c r="A18" s="5" t="s">
        <v>1934</v>
      </c>
      <c r="B18" s="5" t="s">
        <v>1935</v>
      </c>
      <c r="C18" s="5" t="s">
        <v>1936</v>
      </c>
      <c r="D18" s="5" t="s">
        <v>1937</v>
      </c>
      <c r="E18" s="5" t="s">
        <v>1938</v>
      </c>
      <c r="F18" s="5" t="s">
        <v>1939</v>
      </c>
      <c r="G18" s="5" t="s">
        <v>124</v>
      </c>
      <c r="H18" s="5" t="s">
        <v>1863</v>
      </c>
    </row>
    <row r="19" customFormat="false" ht="57.75" hidden="false" customHeight="true" outlineLevel="0" collapsed="false">
      <c r="A19" s="4" t="s">
        <v>1940</v>
      </c>
      <c r="B19" s="4" t="s">
        <v>1941</v>
      </c>
      <c r="C19" s="4" t="s">
        <v>1942</v>
      </c>
      <c r="D19" s="4" t="s">
        <v>1943</v>
      </c>
      <c r="E19" s="4" t="s">
        <v>1944</v>
      </c>
      <c r="F19" s="4" t="s">
        <v>1945</v>
      </c>
      <c r="G19" s="4" t="s">
        <v>124</v>
      </c>
      <c r="H19" s="4" t="s">
        <v>1946</v>
      </c>
    </row>
    <row r="20" customFormat="false" ht="57.75" hidden="false" customHeight="true" outlineLevel="0" collapsed="false">
      <c r="A20" s="5" t="s">
        <v>1947</v>
      </c>
      <c r="B20" s="5" t="s">
        <v>1948</v>
      </c>
      <c r="C20" s="5" t="s">
        <v>1949</v>
      </c>
      <c r="D20" s="5" t="s">
        <v>1950</v>
      </c>
      <c r="E20" s="5" t="s">
        <v>1951</v>
      </c>
      <c r="F20" s="5" t="s">
        <v>1952</v>
      </c>
      <c r="G20" s="5" t="s">
        <v>124</v>
      </c>
      <c r="H20" s="5" t="s">
        <v>1953</v>
      </c>
    </row>
    <row r="21" customFormat="false" ht="57.75" hidden="false" customHeight="true" outlineLevel="0" collapsed="false">
      <c r="A21" s="4" t="s">
        <v>1954</v>
      </c>
      <c r="B21" s="4" t="s">
        <v>1955</v>
      </c>
      <c r="C21" s="4" t="s">
        <v>1956</v>
      </c>
      <c r="D21" s="4" t="s">
        <v>1957</v>
      </c>
      <c r="E21" s="4" t="s">
        <v>1958</v>
      </c>
      <c r="F21" s="4" t="s">
        <v>1959</v>
      </c>
      <c r="G21" s="4" t="s">
        <v>126</v>
      </c>
      <c r="H21" s="4" t="s">
        <v>1960</v>
      </c>
    </row>
    <row r="22" customFormat="false" ht="57.75" hidden="false" customHeight="true" outlineLevel="0" collapsed="false">
      <c r="A22" s="5" t="s">
        <v>1961</v>
      </c>
      <c r="B22" s="5" t="s">
        <v>1962</v>
      </c>
      <c r="C22" s="5" t="s">
        <v>1963</v>
      </c>
      <c r="D22" s="5" t="s">
        <v>1964</v>
      </c>
      <c r="E22" s="5" t="s">
        <v>1965</v>
      </c>
      <c r="F22" s="5" t="s">
        <v>1966</v>
      </c>
      <c r="G22" s="5" t="s">
        <v>124</v>
      </c>
      <c r="H22" s="5" t="s">
        <v>1863</v>
      </c>
    </row>
    <row r="23" customFormat="false" ht="57.75" hidden="false" customHeight="true" outlineLevel="0" collapsed="false">
      <c r="A23" s="4" t="s">
        <v>1967</v>
      </c>
      <c r="B23" s="4" t="s">
        <v>1968</v>
      </c>
      <c r="C23" s="4" t="s">
        <v>1969</v>
      </c>
      <c r="D23" s="4" t="s">
        <v>1970</v>
      </c>
      <c r="E23" s="4" t="s">
        <v>1971</v>
      </c>
      <c r="F23" s="4" t="s">
        <v>1972</v>
      </c>
      <c r="G23" s="4" t="s">
        <v>126</v>
      </c>
      <c r="H23" s="4" t="s">
        <v>1863</v>
      </c>
    </row>
    <row r="24" customFormat="false" ht="57.75" hidden="false" customHeight="true" outlineLevel="0" collapsed="false">
      <c r="A24" s="5" t="s">
        <v>1973</v>
      </c>
      <c r="B24" s="5" t="s">
        <v>1974</v>
      </c>
      <c r="C24" s="5" t="s">
        <v>1975</v>
      </c>
      <c r="D24" s="5" t="s">
        <v>1976</v>
      </c>
      <c r="E24" s="5" t="s">
        <v>1977</v>
      </c>
      <c r="F24" s="5" t="s">
        <v>1978</v>
      </c>
      <c r="G24" s="5" t="s">
        <v>128</v>
      </c>
      <c r="H24" s="5" t="s">
        <v>1863</v>
      </c>
    </row>
    <row r="25" customFormat="false" ht="57.75" hidden="false" customHeight="true" outlineLevel="0" collapsed="false">
      <c r="A25" s="4" t="s">
        <v>1979</v>
      </c>
      <c r="B25" s="4" t="s">
        <v>1980</v>
      </c>
      <c r="C25" s="4" t="s">
        <v>1981</v>
      </c>
      <c r="D25" s="4" t="s">
        <v>1982</v>
      </c>
      <c r="E25" s="4" t="s">
        <v>1983</v>
      </c>
      <c r="F25" s="4" t="s">
        <v>1984</v>
      </c>
      <c r="G25" s="4" t="s">
        <v>126</v>
      </c>
      <c r="H25" s="4" t="s">
        <v>1863</v>
      </c>
    </row>
    <row r="26" customFormat="false" ht="57.75" hidden="false" customHeight="true" outlineLevel="0" collapsed="false">
      <c r="A26" s="5" t="s">
        <v>1985</v>
      </c>
      <c r="B26" s="5" t="s">
        <v>1986</v>
      </c>
      <c r="C26" s="5" t="s">
        <v>1987</v>
      </c>
      <c r="D26" s="5" t="s">
        <v>1988</v>
      </c>
      <c r="E26" s="5" t="s">
        <v>1989</v>
      </c>
      <c r="F26" s="5" t="s">
        <v>1990</v>
      </c>
      <c r="G26" s="5" t="s">
        <v>126</v>
      </c>
      <c r="H26" s="5" t="s">
        <v>1991</v>
      </c>
    </row>
    <row r="27" customFormat="false" ht="57.75" hidden="false" customHeight="true" outlineLevel="0" collapsed="false">
      <c r="A27" s="4" t="s">
        <v>1992</v>
      </c>
      <c r="B27" s="4" t="s">
        <v>1993</v>
      </c>
      <c r="C27" s="4" t="s">
        <v>1994</v>
      </c>
      <c r="D27" s="4" t="s">
        <v>1995</v>
      </c>
      <c r="E27" s="4" t="s">
        <v>1996</v>
      </c>
      <c r="F27" s="4" t="s">
        <v>1997</v>
      </c>
      <c r="G27" s="4" t="s">
        <v>124</v>
      </c>
      <c r="H27" s="4" t="s">
        <v>1863</v>
      </c>
    </row>
    <row r="28" customFormat="false" ht="57.75" hidden="false" customHeight="true" outlineLevel="0" collapsed="false">
      <c r="A28" s="5" t="s">
        <v>1998</v>
      </c>
      <c r="B28" s="5" t="s">
        <v>1999</v>
      </c>
      <c r="C28" s="5" t="s">
        <v>2000</v>
      </c>
      <c r="D28" s="5" t="s">
        <v>2001</v>
      </c>
      <c r="E28" s="5" t="s">
        <v>2002</v>
      </c>
      <c r="F28" s="5" t="s">
        <v>2003</v>
      </c>
      <c r="G28" s="5" t="s">
        <v>126</v>
      </c>
      <c r="H28" s="5" t="s">
        <v>2004</v>
      </c>
    </row>
    <row r="29" customFormat="false" ht="57.75" hidden="false" customHeight="true" outlineLevel="0" collapsed="false">
      <c r="A29" s="4" t="s">
        <v>2005</v>
      </c>
      <c r="B29" s="4" t="s">
        <v>2006</v>
      </c>
      <c r="C29" s="4" t="s">
        <v>2007</v>
      </c>
      <c r="D29" s="4" t="s">
        <v>2008</v>
      </c>
      <c r="E29" s="4" t="s">
        <v>2009</v>
      </c>
      <c r="F29" s="4" t="s">
        <v>2010</v>
      </c>
      <c r="G29" s="4" t="s">
        <v>124</v>
      </c>
      <c r="H29" s="4" t="s">
        <v>1863</v>
      </c>
    </row>
    <row r="30" customFormat="false" ht="57.75" hidden="false" customHeight="true" outlineLevel="0" collapsed="false">
      <c r="A30" s="5" t="s">
        <v>2011</v>
      </c>
      <c r="B30" s="5" t="s">
        <v>2012</v>
      </c>
      <c r="C30" s="5" t="s">
        <v>2013</v>
      </c>
      <c r="D30" s="5" t="s">
        <v>2014</v>
      </c>
      <c r="E30" s="5" t="s">
        <v>2015</v>
      </c>
      <c r="F30" s="5" t="s">
        <v>2016</v>
      </c>
      <c r="G30" s="5" t="s">
        <v>124</v>
      </c>
      <c r="H30" s="5" t="s">
        <v>1863</v>
      </c>
    </row>
    <row r="31" customFormat="false" ht="57.75" hidden="false" customHeight="true" outlineLevel="0" collapsed="false">
      <c r="A31" s="4" t="s">
        <v>2017</v>
      </c>
      <c r="B31" s="4" t="s">
        <v>2018</v>
      </c>
      <c r="C31" s="4" t="s">
        <v>2019</v>
      </c>
      <c r="D31" s="4" t="s">
        <v>2020</v>
      </c>
      <c r="E31" s="4" t="s">
        <v>2021</v>
      </c>
      <c r="F31" s="4" t="s">
        <v>2022</v>
      </c>
      <c r="G31" s="4" t="s">
        <v>124</v>
      </c>
      <c r="H31" s="4" t="s">
        <v>1863</v>
      </c>
    </row>
    <row r="32" customFormat="false" ht="57.75" hidden="false" customHeight="true" outlineLevel="0" collapsed="false">
      <c r="A32" s="5" t="s">
        <v>2023</v>
      </c>
      <c r="B32" s="5" t="s">
        <v>2024</v>
      </c>
      <c r="C32" s="5" t="s">
        <v>2025</v>
      </c>
      <c r="D32" s="5" t="s">
        <v>2026</v>
      </c>
      <c r="E32" s="5" t="s">
        <v>2027</v>
      </c>
      <c r="F32" s="5" t="s">
        <v>2028</v>
      </c>
      <c r="G32" s="5" t="s">
        <v>124</v>
      </c>
      <c r="H32" s="5" t="s">
        <v>1863</v>
      </c>
    </row>
    <row r="33" customFormat="false" ht="57.75" hidden="false" customHeight="true" outlineLevel="0" collapsed="false">
      <c r="A33" s="4" t="s">
        <v>2029</v>
      </c>
      <c r="B33" s="4" t="s">
        <v>2030</v>
      </c>
      <c r="C33" s="4" t="s">
        <v>2031</v>
      </c>
      <c r="D33" s="4" t="s">
        <v>2032</v>
      </c>
      <c r="E33" s="4" t="s">
        <v>2033</v>
      </c>
      <c r="F33" s="4" t="s">
        <v>2034</v>
      </c>
      <c r="G33" s="4" t="s">
        <v>124</v>
      </c>
      <c r="H33" s="4" t="s">
        <v>1863</v>
      </c>
    </row>
    <row r="34" customFormat="false" ht="57.75" hidden="false" customHeight="true" outlineLevel="0" collapsed="false">
      <c r="A34" s="5" t="s">
        <v>2035</v>
      </c>
      <c r="B34" s="5" t="s">
        <v>2036</v>
      </c>
      <c r="C34" s="5" t="s">
        <v>2037</v>
      </c>
      <c r="D34" s="5" t="s">
        <v>2038</v>
      </c>
      <c r="E34" s="5" t="s">
        <v>2039</v>
      </c>
      <c r="F34" s="5" t="s">
        <v>2040</v>
      </c>
      <c r="G34" s="5" t="s">
        <v>124</v>
      </c>
      <c r="H34" s="5" t="s">
        <v>1863</v>
      </c>
    </row>
    <row r="35" customFormat="false" ht="57.75" hidden="false" customHeight="true" outlineLevel="0" collapsed="false">
      <c r="A35" s="4" t="s">
        <v>2041</v>
      </c>
      <c r="B35" s="4" t="s">
        <v>2042</v>
      </c>
      <c r="C35" s="4" t="s">
        <v>2043</v>
      </c>
      <c r="D35" s="4" t="s">
        <v>2044</v>
      </c>
      <c r="E35" s="4" t="s">
        <v>2045</v>
      </c>
      <c r="F35" s="4" t="s">
        <v>2046</v>
      </c>
      <c r="G35" s="4" t="s">
        <v>126</v>
      </c>
      <c r="H35" s="4" t="s">
        <v>1863</v>
      </c>
    </row>
    <row r="36" customFormat="false" ht="57.75" hidden="false" customHeight="true" outlineLevel="0" collapsed="false">
      <c r="A36" s="5" t="s">
        <v>2047</v>
      </c>
      <c r="B36" s="5" t="s">
        <v>2048</v>
      </c>
      <c r="C36" s="5" t="s">
        <v>2049</v>
      </c>
      <c r="D36" s="5" t="s">
        <v>2050</v>
      </c>
      <c r="E36" s="5" t="s">
        <v>2051</v>
      </c>
      <c r="F36" s="5" t="s">
        <v>2052</v>
      </c>
      <c r="G36" s="5" t="s">
        <v>126</v>
      </c>
      <c r="H36" s="5" t="s">
        <v>1863</v>
      </c>
    </row>
    <row r="37" customFormat="false" ht="57.75" hidden="false" customHeight="true" outlineLevel="0" collapsed="false">
      <c r="A37" s="4" t="s">
        <v>2053</v>
      </c>
      <c r="B37" s="4" t="s">
        <v>2054</v>
      </c>
      <c r="C37" s="4" t="s">
        <v>2055</v>
      </c>
      <c r="D37" s="4" t="s">
        <v>2056</v>
      </c>
      <c r="E37" s="4" t="s">
        <v>2057</v>
      </c>
      <c r="F37" s="4" t="s">
        <v>2058</v>
      </c>
      <c r="G37" s="4" t="s">
        <v>126</v>
      </c>
      <c r="H37" s="4" t="s">
        <v>1863</v>
      </c>
    </row>
    <row r="38" customFormat="false" ht="57.75" hidden="false" customHeight="true" outlineLevel="0" collapsed="false">
      <c r="A38" s="5" t="s">
        <v>2059</v>
      </c>
      <c r="B38" s="5" t="s">
        <v>2060</v>
      </c>
      <c r="C38" s="5" t="s">
        <v>2061</v>
      </c>
      <c r="D38" s="5" t="s">
        <v>2062</v>
      </c>
      <c r="E38" s="5" t="s">
        <v>2063</v>
      </c>
      <c r="F38" s="5" t="s">
        <v>2064</v>
      </c>
      <c r="G38" s="5" t="s">
        <v>124</v>
      </c>
      <c r="H38" s="5" t="s">
        <v>1863</v>
      </c>
    </row>
    <row r="39" customFormat="false" ht="57.75" hidden="false" customHeight="true" outlineLevel="0" collapsed="false">
      <c r="A39" s="4" t="s">
        <v>2065</v>
      </c>
      <c r="B39" s="4" t="s">
        <v>2066</v>
      </c>
      <c r="C39" s="4" t="s">
        <v>2067</v>
      </c>
      <c r="D39" s="4" t="s">
        <v>2068</v>
      </c>
      <c r="E39" s="4" t="s">
        <v>2069</v>
      </c>
      <c r="F39" s="4" t="s">
        <v>2070</v>
      </c>
      <c r="G39" s="4" t="s">
        <v>124</v>
      </c>
      <c r="H39" s="4" t="s">
        <v>1863</v>
      </c>
    </row>
    <row r="40" customFormat="false" ht="57.75" hidden="false" customHeight="true" outlineLevel="0" collapsed="false">
      <c r="A40" s="5" t="s">
        <v>2071</v>
      </c>
      <c r="B40" s="5" t="s">
        <v>2072</v>
      </c>
      <c r="C40" s="5" t="s">
        <v>2073</v>
      </c>
      <c r="D40" s="5" t="s">
        <v>2074</v>
      </c>
      <c r="E40" s="5" t="s">
        <v>2075</v>
      </c>
      <c r="F40" s="5" t="s">
        <v>2076</v>
      </c>
      <c r="G40" s="5" t="s">
        <v>124</v>
      </c>
      <c r="H40" s="5" t="s">
        <v>1863</v>
      </c>
    </row>
    <row r="41" customFormat="false" ht="57.75" hidden="false" customHeight="true" outlineLevel="0" collapsed="false">
      <c r="A41" s="4" t="s">
        <v>2077</v>
      </c>
      <c r="B41" s="4" t="s">
        <v>2078</v>
      </c>
      <c r="C41" s="4" t="s">
        <v>2079</v>
      </c>
      <c r="D41" s="4" t="s">
        <v>2080</v>
      </c>
      <c r="E41" s="4" t="s">
        <v>2081</v>
      </c>
      <c r="F41" s="4" t="s">
        <v>2082</v>
      </c>
      <c r="G41" s="4" t="s">
        <v>124</v>
      </c>
      <c r="H41" s="4" t="s">
        <v>1863</v>
      </c>
    </row>
    <row r="42" customFormat="false" ht="57.75" hidden="false" customHeight="true" outlineLevel="0" collapsed="false">
      <c r="A42" s="5" t="s">
        <v>2083</v>
      </c>
      <c r="B42" s="5" t="s">
        <v>2084</v>
      </c>
      <c r="C42" s="5" t="s">
        <v>2085</v>
      </c>
      <c r="D42" s="5" t="s">
        <v>2086</v>
      </c>
      <c r="E42" s="5" t="s">
        <v>2087</v>
      </c>
      <c r="F42" s="5" t="s">
        <v>2088</v>
      </c>
      <c r="G42" s="5" t="s">
        <v>124</v>
      </c>
      <c r="H42" s="5" t="s">
        <v>1863</v>
      </c>
    </row>
    <row r="43" customFormat="false" ht="57.75" hidden="false" customHeight="true" outlineLevel="0" collapsed="false">
      <c r="A43" s="4" t="s">
        <v>2089</v>
      </c>
      <c r="B43" s="4" t="s">
        <v>2090</v>
      </c>
      <c r="C43" s="4" t="s">
        <v>2091</v>
      </c>
      <c r="D43" s="4" t="s">
        <v>2092</v>
      </c>
      <c r="E43" s="4" t="s">
        <v>2093</v>
      </c>
      <c r="F43" s="4" t="s">
        <v>2094</v>
      </c>
      <c r="G43" s="4" t="s">
        <v>126</v>
      </c>
      <c r="H43" s="4" t="s">
        <v>1863</v>
      </c>
    </row>
    <row r="44" customFormat="false" ht="57.75" hidden="false" customHeight="true" outlineLevel="0" collapsed="false">
      <c r="A44" s="5" t="s">
        <v>2095</v>
      </c>
      <c r="B44" s="5" t="s">
        <v>2096</v>
      </c>
      <c r="C44" s="5" t="s">
        <v>2097</v>
      </c>
      <c r="D44" s="5" t="s">
        <v>2098</v>
      </c>
      <c r="E44" s="5" t="s">
        <v>2099</v>
      </c>
      <c r="F44" s="5" t="s">
        <v>2100</v>
      </c>
      <c r="G44" s="5" t="s">
        <v>124</v>
      </c>
      <c r="H44" s="5" t="s">
        <v>1863</v>
      </c>
    </row>
    <row r="45" customFormat="false" ht="57.75" hidden="false" customHeight="true" outlineLevel="0" collapsed="false">
      <c r="A45" s="4" t="s">
        <v>2101</v>
      </c>
      <c r="B45" s="4" t="s">
        <v>2102</v>
      </c>
      <c r="C45" s="4" t="s">
        <v>2103</v>
      </c>
      <c r="D45" s="4" t="s">
        <v>2104</v>
      </c>
      <c r="E45" s="4" t="s">
        <v>2105</v>
      </c>
      <c r="F45" s="4" t="s">
        <v>2106</v>
      </c>
      <c r="G45" s="4" t="s">
        <v>124</v>
      </c>
      <c r="H45" s="4" t="s">
        <v>1863</v>
      </c>
    </row>
    <row r="46" customFormat="false" ht="57.75" hidden="false" customHeight="true" outlineLevel="0" collapsed="false">
      <c r="A46" s="5" t="s">
        <v>2107</v>
      </c>
      <c r="B46" s="5" t="s">
        <v>2108</v>
      </c>
      <c r="C46" s="5" t="s">
        <v>2109</v>
      </c>
      <c r="D46" s="5" t="s">
        <v>2110</v>
      </c>
      <c r="E46" s="5" t="s">
        <v>2111</v>
      </c>
      <c r="F46" s="5" t="s">
        <v>2112</v>
      </c>
      <c r="G46" s="5" t="s">
        <v>126</v>
      </c>
      <c r="H46" s="5" t="s">
        <v>1863</v>
      </c>
    </row>
    <row r="47" customFormat="false" ht="57.75" hidden="false" customHeight="true" outlineLevel="0" collapsed="false">
      <c r="A47" s="4" t="s">
        <v>2113</v>
      </c>
      <c r="B47" s="4" t="s">
        <v>2114</v>
      </c>
      <c r="C47" s="4" t="s">
        <v>2115</v>
      </c>
      <c r="D47" s="4" t="s">
        <v>2116</v>
      </c>
      <c r="E47" s="4" t="s">
        <v>2117</v>
      </c>
      <c r="F47" s="4" t="s">
        <v>2118</v>
      </c>
      <c r="G47" s="4" t="s">
        <v>126</v>
      </c>
      <c r="H47" s="4" t="s">
        <v>1863</v>
      </c>
    </row>
    <row r="48" customFormat="false" ht="57.75" hidden="false" customHeight="true" outlineLevel="0" collapsed="false">
      <c r="A48" s="5" t="s">
        <v>2119</v>
      </c>
      <c r="B48" s="5" t="s">
        <v>2120</v>
      </c>
      <c r="C48" s="5" t="s">
        <v>2121</v>
      </c>
      <c r="D48" s="5" t="s">
        <v>2122</v>
      </c>
      <c r="E48" s="5" t="s">
        <v>2123</v>
      </c>
      <c r="F48" s="5" t="s">
        <v>2124</v>
      </c>
      <c r="G48" s="5" t="s">
        <v>124</v>
      </c>
      <c r="H48" s="5" t="s">
        <v>1863</v>
      </c>
    </row>
    <row r="49" customFormat="false" ht="57.75" hidden="false" customHeight="true" outlineLevel="0" collapsed="false">
      <c r="A49" s="4" t="s">
        <v>2125</v>
      </c>
      <c r="B49" s="4" t="s">
        <v>2126</v>
      </c>
      <c r="C49" s="4" t="s">
        <v>2127</v>
      </c>
      <c r="D49" s="4" t="s">
        <v>2128</v>
      </c>
      <c r="E49" s="4" t="s">
        <v>2129</v>
      </c>
      <c r="F49" s="4" t="s">
        <v>2130</v>
      </c>
      <c r="G49" s="4" t="s">
        <v>124</v>
      </c>
      <c r="H49" s="4" t="s">
        <v>1863</v>
      </c>
    </row>
    <row r="50" customFormat="false" ht="57.75" hidden="false" customHeight="true" outlineLevel="0" collapsed="false">
      <c r="A50" s="5" t="s">
        <v>2131</v>
      </c>
      <c r="B50" s="5" t="s">
        <v>2132</v>
      </c>
      <c r="C50" s="5" t="s">
        <v>2133</v>
      </c>
      <c r="D50" s="5" t="s">
        <v>2134</v>
      </c>
      <c r="E50" s="5" t="s">
        <v>2135</v>
      </c>
      <c r="F50" s="5" t="s">
        <v>2136</v>
      </c>
      <c r="G50" s="5" t="s">
        <v>124</v>
      </c>
      <c r="H50" s="5" t="s">
        <v>1863</v>
      </c>
    </row>
    <row r="51" customFormat="false" ht="57.75" hidden="false" customHeight="true" outlineLevel="0" collapsed="false">
      <c r="A51" s="4" t="s">
        <v>2137</v>
      </c>
      <c r="B51" s="4" t="s">
        <v>2138</v>
      </c>
      <c r="C51" s="4" t="s">
        <v>2139</v>
      </c>
      <c r="D51" s="4" t="s">
        <v>2140</v>
      </c>
      <c r="E51" s="4" t="s">
        <v>2141</v>
      </c>
      <c r="F51" s="4" t="s">
        <v>2142</v>
      </c>
      <c r="G51" s="4" t="s">
        <v>124</v>
      </c>
      <c r="H51" s="4" t="s">
        <v>1863</v>
      </c>
    </row>
    <row r="52" customFormat="false" ht="57.75" hidden="false" customHeight="true" outlineLevel="0" collapsed="false">
      <c r="A52" s="5" t="s">
        <v>2143</v>
      </c>
      <c r="B52" s="5" t="s">
        <v>2144</v>
      </c>
      <c r="C52" s="5" t="s">
        <v>2145</v>
      </c>
      <c r="D52" s="5" t="s">
        <v>2146</v>
      </c>
      <c r="E52" s="5" t="s">
        <v>2147</v>
      </c>
      <c r="F52" s="5" t="s">
        <v>2148</v>
      </c>
      <c r="G52" s="5" t="s">
        <v>126</v>
      </c>
      <c r="H52" s="5" t="s">
        <v>2149</v>
      </c>
    </row>
    <row r="53" customFormat="false" ht="57.75" hidden="false" customHeight="true" outlineLevel="0" collapsed="false">
      <c r="A53" s="4" t="s">
        <v>2150</v>
      </c>
      <c r="B53" s="4" t="s">
        <v>2151</v>
      </c>
      <c r="C53" s="4" t="s">
        <v>2152</v>
      </c>
      <c r="D53" s="4" t="s">
        <v>2153</v>
      </c>
      <c r="E53" s="4" t="s">
        <v>2154</v>
      </c>
      <c r="F53" s="4" t="s">
        <v>2155</v>
      </c>
      <c r="G53" s="4" t="s">
        <v>124</v>
      </c>
      <c r="H53" s="4" t="s">
        <v>2156</v>
      </c>
    </row>
    <row r="54" customFormat="false" ht="57.75" hidden="false" customHeight="true" outlineLevel="0" collapsed="false">
      <c r="A54" s="5" t="s">
        <v>2157</v>
      </c>
      <c r="B54" s="5" t="s">
        <v>2158</v>
      </c>
      <c r="C54" s="5" t="s">
        <v>2159</v>
      </c>
      <c r="D54" s="5" t="s">
        <v>2160</v>
      </c>
      <c r="E54" s="5" t="s">
        <v>2161</v>
      </c>
      <c r="F54" s="5" t="s">
        <v>2162</v>
      </c>
      <c r="G54" s="5" t="s">
        <v>126</v>
      </c>
      <c r="H54" s="5" t="s">
        <v>2163</v>
      </c>
    </row>
    <row r="55" customFormat="false" ht="57.75" hidden="false" customHeight="true" outlineLevel="0" collapsed="false">
      <c r="A55" s="4" t="s">
        <v>2164</v>
      </c>
      <c r="B55" s="4" t="s">
        <v>2165</v>
      </c>
      <c r="C55" s="4" t="s">
        <v>2166</v>
      </c>
      <c r="D55" s="4" t="s">
        <v>2167</v>
      </c>
      <c r="E55" s="4" t="s">
        <v>2168</v>
      </c>
      <c r="F55" s="4" t="s">
        <v>2169</v>
      </c>
      <c r="G55" s="4" t="s">
        <v>124</v>
      </c>
      <c r="H55" s="4" t="s">
        <v>2170</v>
      </c>
    </row>
    <row r="56" customFormat="false" ht="57.75" hidden="false" customHeight="true" outlineLevel="0" collapsed="false">
      <c r="A56" s="5" t="s">
        <v>2171</v>
      </c>
      <c r="B56" s="5" t="s">
        <v>2172</v>
      </c>
      <c r="C56" s="5" t="s">
        <v>2173</v>
      </c>
      <c r="D56" s="5" t="s">
        <v>2174</v>
      </c>
      <c r="E56" s="5" t="s">
        <v>2175</v>
      </c>
      <c r="F56" s="5" t="s">
        <v>2176</v>
      </c>
      <c r="G56" s="5" t="s">
        <v>124</v>
      </c>
      <c r="H56" s="5" t="s">
        <v>1863</v>
      </c>
    </row>
    <row r="57" customFormat="false" ht="57.75" hidden="false" customHeight="true" outlineLevel="0" collapsed="false">
      <c r="A57" s="4" t="s">
        <v>2177</v>
      </c>
      <c r="B57" s="4" t="s">
        <v>2178</v>
      </c>
      <c r="C57" s="4" t="s">
        <v>2179</v>
      </c>
      <c r="D57" s="4" t="s">
        <v>2180</v>
      </c>
      <c r="E57" s="4" t="s">
        <v>2181</v>
      </c>
      <c r="F57" s="4" t="s">
        <v>2182</v>
      </c>
      <c r="G57" s="4" t="s">
        <v>126</v>
      </c>
      <c r="H57" s="4" t="s">
        <v>1863</v>
      </c>
    </row>
    <row r="58" customFormat="false" ht="57.75" hidden="false" customHeight="true" outlineLevel="0" collapsed="false">
      <c r="A58" s="5" t="s">
        <v>2183</v>
      </c>
      <c r="B58" s="5" t="s">
        <v>2184</v>
      </c>
      <c r="C58" s="5" t="s">
        <v>2185</v>
      </c>
      <c r="D58" s="5" t="s">
        <v>2186</v>
      </c>
      <c r="E58" s="5" t="s">
        <v>2187</v>
      </c>
      <c r="F58" s="5" t="s">
        <v>2188</v>
      </c>
      <c r="G58" s="5" t="s">
        <v>124</v>
      </c>
      <c r="H58" s="5" t="s">
        <v>1863</v>
      </c>
    </row>
    <row r="59" customFormat="false" ht="57.75" hidden="false" customHeight="true" outlineLevel="0" collapsed="false">
      <c r="A59" s="4" t="s">
        <v>2189</v>
      </c>
      <c r="B59" s="4" t="s">
        <v>2190</v>
      </c>
      <c r="C59" s="4" t="s">
        <v>2191</v>
      </c>
      <c r="D59" s="4" t="s">
        <v>2192</v>
      </c>
      <c r="E59" s="4" t="s">
        <v>2193</v>
      </c>
      <c r="F59" s="4" t="s">
        <v>2194</v>
      </c>
      <c r="G59" s="4" t="s">
        <v>126</v>
      </c>
      <c r="H59" s="4" t="s">
        <v>1863</v>
      </c>
    </row>
    <row r="60" customFormat="false" ht="57.75" hidden="false" customHeight="true" outlineLevel="0" collapsed="false">
      <c r="A60" s="5" t="s">
        <v>2195</v>
      </c>
      <c r="B60" s="5" t="s">
        <v>2196</v>
      </c>
      <c r="C60" s="5" t="s">
        <v>2197</v>
      </c>
      <c r="D60" s="5" t="s">
        <v>2198</v>
      </c>
      <c r="E60" s="5" t="s">
        <v>2199</v>
      </c>
      <c r="F60" s="5" t="s">
        <v>2200</v>
      </c>
      <c r="G60" s="5" t="s">
        <v>124</v>
      </c>
      <c r="H60" s="5" t="s">
        <v>1863</v>
      </c>
    </row>
    <row r="61" customFormat="false" ht="57.75" hidden="false" customHeight="true" outlineLevel="0" collapsed="false">
      <c r="A61" s="4" t="s">
        <v>2201</v>
      </c>
      <c r="B61" s="4" t="s">
        <v>2202</v>
      </c>
      <c r="C61" s="4" t="s">
        <v>2203</v>
      </c>
      <c r="D61" s="4" t="s">
        <v>2204</v>
      </c>
      <c r="E61" s="4" t="s">
        <v>2205</v>
      </c>
      <c r="F61" s="4" t="s">
        <v>2206</v>
      </c>
      <c r="G61" s="4" t="s">
        <v>128</v>
      </c>
      <c r="H61" s="4" t="s">
        <v>1863</v>
      </c>
    </row>
    <row r="62" customFormat="false" ht="57.75" hidden="false" customHeight="true" outlineLevel="0" collapsed="false">
      <c r="A62" s="5" t="s">
        <v>2207</v>
      </c>
      <c r="B62" s="5" t="s">
        <v>2208</v>
      </c>
      <c r="C62" s="5" t="s">
        <v>2209</v>
      </c>
      <c r="D62" s="5" t="s">
        <v>2210</v>
      </c>
      <c r="E62" s="5" t="s">
        <v>2211</v>
      </c>
      <c r="F62" s="5" t="s">
        <v>2212</v>
      </c>
      <c r="G62" s="5" t="s">
        <v>124</v>
      </c>
      <c r="H62" s="5" t="s">
        <v>1863</v>
      </c>
    </row>
    <row r="63" customFormat="false" ht="57.75" hidden="false" customHeight="true" outlineLevel="0" collapsed="false">
      <c r="A63" s="4" t="s">
        <v>2213</v>
      </c>
      <c r="B63" s="4" t="s">
        <v>2214</v>
      </c>
      <c r="C63" s="4" t="s">
        <v>2215</v>
      </c>
      <c r="D63" s="4" t="s">
        <v>2216</v>
      </c>
      <c r="E63" s="4" t="s">
        <v>2217</v>
      </c>
      <c r="F63" s="4" t="s">
        <v>2218</v>
      </c>
      <c r="G63" s="4" t="s">
        <v>124</v>
      </c>
      <c r="H63" s="4" t="s">
        <v>1863</v>
      </c>
    </row>
    <row r="64" customFormat="false" ht="57.75" hidden="false" customHeight="true" outlineLevel="0" collapsed="false">
      <c r="A64" s="5" t="s">
        <v>2219</v>
      </c>
      <c r="B64" s="5" t="s">
        <v>2220</v>
      </c>
      <c r="C64" s="5" t="s">
        <v>2221</v>
      </c>
      <c r="D64" s="5" t="s">
        <v>2222</v>
      </c>
      <c r="E64" s="5" t="s">
        <v>2223</v>
      </c>
      <c r="F64" s="5" t="s">
        <v>2224</v>
      </c>
      <c r="G64" s="5" t="s">
        <v>124</v>
      </c>
      <c r="H64" s="5" t="s">
        <v>1863</v>
      </c>
    </row>
    <row r="65" customFormat="false" ht="57.75" hidden="false" customHeight="true" outlineLevel="0" collapsed="false">
      <c r="A65" s="4" t="s">
        <v>2225</v>
      </c>
      <c r="B65" s="4" t="s">
        <v>2226</v>
      </c>
      <c r="C65" s="4" t="s">
        <v>2227</v>
      </c>
      <c r="D65" s="4" t="s">
        <v>2228</v>
      </c>
      <c r="E65" s="4" t="s">
        <v>2229</v>
      </c>
      <c r="F65" s="4" t="s">
        <v>2230</v>
      </c>
      <c r="G65" s="4" t="s">
        <v>124</v>
      </c>
      <c r="H65" s="4" t="s">
        <v>1863</v>
      </c>
    </row>
    <row r="66" customFormat="false" ht="57.75" hidden="false" customHeight="true" outlineLevel="0" collapsed="false">
      <c r="A66" s="5" t="s">
        <v>2231</v>
      </c>
      <c r="B66" s="5" t="s">
        <v>2232</v>
      </c>
      <c r="C66" s="5" t="s">
        <v>2233</v>
      </c>
      <c r="D66" s="5" t="s">
        <v>2234</v>
      </c>
      <c r="E66" s="5" t="s">
        <v>2235</v>
      </c>
      <c r="F66" s="5" t="s">
        <v>2236</v>
      </c>
      <c r="G66" s="5" t="s">
        <v>128</v>
      </c>
      <c r="H66" s="5" t="s">
        <v>1863</v>
      </c>
    </row>
    <row r="67" customFormat="false" ht="57.75" hidden="false" customHeight="true" outlineLevel="0" collapsed="false">
      <c r="A67" s="4" t="s">
        <v>2237</v>
      </c>
      <c r="B67" s="4" t="s">
        <v>2238</v>
      </c>
      <c r="C67" s="4" t="s">
        <v>2239</v>
      </c>
      <c r="D67" s="4" t="s">
        <v>2240</v>
      </c>
      <c r="E67" s="4" t="s">
        <v>2241</v>
      </c>
      <c r="F67" s="4" t="s">
        <v>2242</v>
      </c>
      <c r="G67" s="4" t="s">
        <v>124</v>
      </c>
      <c r="H67" s="4" t="s">
        <v>1863</v>
      </c>
    </row>
    <row r="68" customFormat="false" ht="57.75" hidden="false" customHeight="true" outlineLevel="0" collapsed="false">
      <c r="A68" s="5" t="s">
        <v>2243</v>
      </c>
      <c r="B68" s="5" t="s">
        <v>2244</v>
      </c>
      <c r="C68" s="5" t="s">
        <v>2245</v>
      </c>
      <c r="D68" s="5" t="s">
        <v>2246</v>
      </c>
      <c r="E68" s="5" t="s">
        <v>2247</v>
      </c>
      <c r="F68" s="5" t="s">
        <v>2248</v>
      </c>
      <c r="G68" s="5" t="s">
        <v>124</v>
      </c>
      <c r="H68" s="5" t="s">
        <v>1863</v>
      </c>
    </row>
    <row r="69" customFormat="false" ht="57.75" hidden="false" customHeight="true" outlineLevel="0" collapsed="false">
      <c r="A69" s="4" t="s">
        <v>2249</v>
      </c>
      <c r="B69" s="4" t="s">
        <v>2250</v>
      </c>
      <c r="C69" s="4" t="s">
        <v>2251</v>
      </c>
      <c r="D69" s="4" t="s">
        <v>2252</v>
      </c>
      <c r="E69" s="4" t="s">
        <v>2253</v>
      </c>
      <c r="F69" s="4" t="s">
        <v>2254</v>
      </c>
      <c r="G69" s="4" t="s">
        <v>126</v>
      </c>
      <c r="H69" s="4" t="s">
        <v>1863</v>
      </c>
    </row>
    <row r="70" customFormat="false" ht="57.75" hidden="false" customHeight="true" outlineLevel="0" collapsed="false">
      <c r="A70" s="5" t="s">
        <v>2255</v>
      </c>
      <c r="B70" s="5" t="s">
        <v>2256</v>
      </c>
      <c r="C70" s="5" t="s">
        <v>2257</v>
      </c>
      <c r="D70" s="5" t="s">
        <v>2258</v>
      </c>
      <c r="E70" s="5" t="s">
        <v>2259</v>
      </c>
      <c r="F70" s="5" t="s">
        <v>2260</v>
      </c>
      <c r="G70" s="5" t="s">
        <v>128</v>
      </c>
      <c r="H70" s="5" t="s">
        <v>1863</v>
      </c>
    </row>
  </sheetData>
  <autoFilter ref="A4:H4"/>
  <conditionalFormatting sqref="G5:G70">
    <cfRule type="cellIs" priority="2" operator="equal" aboveAverage="0" equalAverage="0" bottom="0" percent="0" rank="0" text="" dxfId="2">
      <formula>"REFUTED"</formula>
    </cfRule>
    <cfRule type="cellIs" priority="3" operator="equal" aboveAverage="0" equalAverage="0" bottom="0" percent="0" rank="0" text="" dxfId="3">
      <formula>"PARTIALLY_WRONG"</formula>
    </cfRule>
    <cfRule type="cellIs" priority="4" operator="equal" aboveAverage="0" equalAverage="0" bottom="0" percent="0" rank="0" text="" dxfId="4">
      <formula>"UNSUPPORTED"</formula>
    </cfRule>
    <cfRule type="cellIs" priority="5" operator="equal" aboveAverage="0" equalAverage="0" bottom="0" percent="0" rank="0" text="" dxfId="5">
      <formula>"CONFIRMED"</formula>
    </cfRule>
    <cfRule type="cellIs" priority="6" operator="equal" aboveAverage="0" equalAverage="0" bottom="0" percent="0" rank="0" text="" dxfId="2">
      <formula>"High"</formula>
    </cfRule>
    <cfRule type="cellIs" priority="7" operator="equal" aboveAverage="0" equalAverage="0" bottom="0" percent="0" rank="0" text="" dxfId="4">
      <formula>"Medium"</formula>
    </cfRule>
    <cfRule type="cellIs" priority="8" operator="equal" aboveAverage="0" equalAverage="0" bottom="0" percent="0" rank="0" text="" dxfId="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50"/>
    <col collapsed="false" customWidth="true" hidden="false" outlineLevel="0" max="5" min="4" style="0" width="20"/>
    <col collapsed="false" customWidth="true" hidden="false" outlineLevel="0" max="6" min="6" style="0" width="40"/>
    <col collapsed="false" customWidth="true" hidden="false" outlineLevel="0" max="7" min="7" style="0" width="54"/>
    <col collapsed="false" customWidth="true" hidden="false" outlineLevel="0" max="8" min="8" style="0" width="62"/>
    <col collapsed="false" customWidth="true" hidden="false" outlineLevel="0" max="9" min="9" style="0" width="32"/>
    <col collapsed="false" customWidth="true" hidden="false" outlineLevel="0" max="10" min="10" style="0" width="14"/>
  </cols>
  <sheetData>
    <row r="1" customFormat="false" ht="17.35" hidden="false" customHeight="false" outlineLevel="0" collapsed="false">
      <c r="A1" s="1" t="s">
        <v>2261</v>
      </c>
    </row>
    <row r="2" customFormat="false" ht="15" hidden="false" customHeight="false" outlineLevel="0" collapsed="false">
      <c r="A2" s="2" t="s">
        <v>2262</v>
      </c>
    </row>
    <row r="4" customFormat="false" ht="30" hidden="false" customHeight="true" outlineLevel="0" collapsed="false">
      <c r="A4" s="3" t="s">
        <v>608</v>
      </c>
      <c r="B4" s="3" t="s">
        <v>609</v>
      </c>
      <c r="C4" s="3" t="s">
        <v>860</v>
      </c>
      <c r="D4" s="3" t="s">
        <v>611</v>
      </c>
      <c r="E4" s="3" t="s">
        <v>612</v>
      </c>
      <c r="F4" s="3" t="s">
        <v>613</v>
      </c>
      <c r="G4" s="3" t="s">
        <v>2263</v>
      </c>
      <c r="H4" s="3" t="s">
        <v>2264</v>
      </c>
      <c r="I4" s="3" t="s">
        <v>615</v>
      </c>
      <c r="J4" s="3" t="s">
        <v>2265</v>
      </c>
    </row>
    <row r="5" customFormat="false" ht="43.5" hidden="false" customHeight="true" outlineLevel="0" collapsed="false">
      <c r="A5" s="4" t="s">
        <v>616</v>
      </c>
      <c r="B5" s="4" t="s">
        <v>617</v>
      </c>
      <c r="C5" s="4" t="s">
        <v>618</v>
      </c>
      <c r="D5" s="4" t="s">
        <v>619</v>
      </c>
      <c r="E5" s="4" t="s">
        <v>619</v>
      </c>
      <c r="F5" s="4" t="s">
        <v>620</v>
      </c>
      <c r="G5" s="4" t="s">
        <v>2266</v>
      </c>
      <c r="H5" s="24" t="s">
        <v>2267</v>
      </c>
      <c r="I5" s="4" t="s">
        <v>622</v>
      </c>
      <c r="J5" s="4" t="s">
        <v>2268</v>
      </c>
    </row>
    <row r="6" customFormat="false" ht="43.5" hidden="false" customHeight="true" outlineLevel="0" collapsed="false">
      <c r="A6" s="5" t="s">
        <v>623</v>
      </c>
      <c r="B6" s="5" t="s">
        <v>624</v>
      </c>
      <c r="C6" s="5" t="s">
        <v>625</v>
      </c>
      <c r="D6" s="5" t="s">
        <v>626</v>
      </c>
      <c r="E6" s="5" t="s">
        <v>627</v>
      </c>
      <c r="F6" s="5" t="s">
        <v>628</v>
      </c>
      <c r="G6" s="5" t="s">
        <v>2269</v>
      </c>
      <c r="H6" s="25" t="s">
        <v>2270</v>
      </c>
      <c r="I6" s="5" t="s">
        <v>622</v>
      </c>
      <c r="J6" s="5" t="s">
        <v>2268</v>
      </c>
    </row>
    <row r="7" customFormat="false" ht="43.5" hidden="false" customHeight="true" outlineLevel="0" collapsed="false">
      <c r="A7" s="4" t="s">
        <v>630</v>
      </c>
      <c r="B7" s="4" t="s">
        <v>617</v>
      </c>
      <c r="C7" s="4" t="s">
        <v>631</v>
      </c>
      <c r="D7" s="4" t="s">
        <v>632</v>
      </c>
      <c r="E7" s="4" t="s">
        <v>633</v>
      </c>
      <c r="F7" s="4" t="s">
        <v>634</v>
      </c>
      <c r="G7" s="4" t="s">
        <v>2271</v>
      </c>
      <c r="H7" s="24" t="s">
        <v>2272</v>
      </c>
      <c r="I7" s="4" t="s">
        <v>622</v>
      </c>
      <c r="J7" s="4" t="s">
        <v>2268</v>
      </c>
    </row>
    <row r="8" customFormat="false" ht="43.5" hidden="false" customHeight="true" outlineLevel="0" collapsed="false">
      <c r="A8" s="5" t="s">
        <v>636</v>
      </c>
      <c r="B8" s="5" t="s">
        <v>637</v>
      </c>
      <c r="C8" s="5" t="s">
        <v>638</v>
      </c>
      <c r="D8" s="5" t="s">
        <v>639</v>
      </c>
      <c r="E8" s="5" t="s">
        <v>640</v>
      </c>
      <c r="F8" s="5" t="s">
        <v>641</v>
      </c>
      <c r="G8" s="5" t="s">
        <v>2273</v>
      </c>
      <c r="H8" s="25" t="s">
        <v>2274</v>
      </c>
      <c r="I8" s="5" t="s">
        <v>622</v>
      </c>
      <c r="J8" s="5" t="s">
        <v>2268</v>
      </c>
    </row>
    <row r="9" customFormat="false" ht="43.5" hidden="false" customHeight="true" outlineLevel="0" collapsed="false">
      <c r="A9" s="4" t="s">
        <v>643</v>
      </c>
      <c r="B9" s="4" t="s">
        <v>637</v>
      </c>
      <c r="C9" s="4" t="s">
        <v>644</v>
      </c>
      <c r="D9" s="4" t="s">
        <v>645</v>
      </c>
      <c r="E9" s="4" t="s">
        <v>646</v>
      </c>
      <c r="F9" s="4" t="s">
        <v>647</v>
      </c>
      <c r="G9" s="4" t="s">
        <v>2275</v>
      </c>
      <c r="H9" s="24" t="s">
        <v>2276</v>
      </c>
      <c r="I9" s="4" t="s">
        <v>649</v>
      </c>
      <c r="J9" s="4" t="s">
        <v>2268</v>
      </c>
    </row>
    <row r="10" customFormat="false" ht="43.5" hidden="false" customHeight="true" outlineLevel="0" collapsed="false">
      <c r="A10" s="5" t="s">
        <v>650</v>
      </c>
      <c r="B10" s="5" t="s">
        <v>195</v>
      </c>
      <c r="C10" s="5" t="s">
        <v>651</v>
      </c>
      <c r="D10" s="5" t="s">
        <v>652</v>
      </c>
      <c r="E10" s="5" t="s">
        <v>653</v>
      </c>
      <c r="F10" s="5" t="s">
        <v>654</v>
      </c>
      <c r="G10" s="5" t="s">
        <v>2277</v>
      </c>
      <c r="H10" s="25" t="s">
        <v>2278</v>
      </c>
      <c r="I10" s="5" t="s">
        <v>622</v>
      </c>
      <c r="J10" s="5" t="s">
        <v>2268</v>
      </c>
    </row>
    <row r="11" customFormat="false" ht="43.5" hidden="false" customHeight="true" outlineLevel="0" collapsed="false">
      <c r="A11" s="4" t="s">
        <v>656</v>
      </c>
      <c r="B11" s="4" t="s">
        <v>195</v>
      </c>
      <c r="C11" s="4" t="s">
        <v>657</v>
      </c>
      <c r="D11" s="4" t="s">
        <v>658</v>
      </c>
      <c r="E11" s="4" t="s">
        <v>653</v>
      </c>
      <c r="F11" s="4" t="s">
        <v>659</v>
      </c>
      <c r="G11" s="4" t="s">
        <v>2279</v>
      </c>
      <c r="H11" s="24" t="s">
        <v>2278</v>
      </c>
      <c r="I11" s="4" t="s">
        <v>622</v>
      </c>
      <c r="J11" s="4" t="s">
        <v>2268</v>
      </c>
    </row>
    <row r="12" customFormat="false" ht="43.5" hidden="false" customHeight="true" outlineLevel="0" collapsed="false">
      <c r="A12" s="5" t="s">
        <v>661</v>
      </c>
      <c r="B12" s="5" t="s">
        <v>195</v>
      </c>
      <c r="C12" s="5" t="s">
        <v>662</v>
      </c>
      <c r="D12" s="5" t="s">
        <v>663</v>
      </c>
      <c r="E12" s="5" t="s">
        <v>664</v>
      </c>
      <c r="F12" s="5" t="s">
        <v>665</v>
      </c>
      <c r="G12" s="5" t="s">
        <v>2280</v>
      </c>
      <c r="H12" s="25" t="s">
        <v>2281</v>
      </c>
      <c r="I12" s="5" t="s">
        <v>622</v>
      </c>
      <c r="J12" s="5" t="s">
        <v>2268</v>
      </c>
    </row>
    <row r="13" customFormat="false" ht="43.5" hidden="false" customHeight="true" outlineLevel="0" collapsed="false">
      <c r="A13" s="4" t="s">
        <v>667</v>
      </c>
      <c r="B13" s="4" t="s">
        <v>192</v>
      </c>
      <c r="C13" s="4" t="s">
        <v>668</v>
      </c>
      <c r="D13" s="4" t="s">
        <v>669</v>
      </c>
      <c r="E13" s="4" t="s">
        <v>670</v>
      </c>
      <c r="F13" s="4" t="s">
        <v>671</v>
      </c>
      <c r="G13" s="4" t="s">
        <v>2282</v>
      </c>
      <c r="H13" s="24" t="s">
        <v>2283</v>
      </c>
      <c r="I13" s="4" t="s">
        <v>622</v>
      </c>
      <c r="J13" s="4" t="s">
        <v>2268</v>
      </c>
    </row>
    <row r="14" customFormat="false" ht="43.5" hidden="false" customHeight="true" outlineLevel="0" collapsed="false">
      <c r="A14" s="5" t="s">
        <v>673</v>
      </c>
      <c r="B14" s="5" t="s">
        <v>192</v>
      </c>
      <c r="C14" s="5" t="s">
        <v>674</v>
      </c>
      <c r="D14" s="5" t="s">
        <v>675</v>
      </c>
      <c r="E14" s="5" t="s">
        <v>640</v>
      </c>
      <c r="F14" s="5" t="s">
        <v>676</v>
      </c>
      <c r="G14" s="5" t="s">
        <v>2284</v>
      </c>
      <c r="H14" s="25" t="s">
        <v>2285</v>
      </c>
      <c r="I14" s="5" t="s">
        <v>622</v>
      </c>
      <c r="J14" s="5" t="s">
        <v>2268</v>
      </c>
    </row>
    <row r="15" customFormat="false" ht="43.5" hidden="false" customHeight="true" outlineLevel="0" collapsed="false">
      <c r="A15" s="4" t="s">
        <v>678</v>
      </c>
      <c r="B15" s="4" t="s">
        <v>192</v>
      </c>
      <c r="C15" s="4" t="s">
        <v>679</v>
      </c>
      <c r="D15" s="4" t="s">
        <v>680</v>
      </c>
      <c r="E15" s="4" t="s">
        <v>681</v>
      </c>
      <c r="F15" s="4" t="s">
        <v>682</v>
      </c>
      <c r="G15" s="4" t="s">
        <v>2286</v>
      </c>
      <c r="H15" s="24" t="s">
        <v>2287</v>
      </c>
      <c r="I15" s="4" t="s">
        <v>622</v>
      </c>
      <c r="J15" s="4" t="s">
        <v>2268</v>
      </c>
    </row>
    <row r="16" customFormat="false" ht="43.5" hidden="false" customHeight="true" outlineLevel="0" collapsed="false">
      <c r="A16" s="5" t="s">
        <v>684</v>
      </c>
      <c r="B16" s="5" t="s">
        <v>219</v>
      </c>
      <c r="C16" s="5" t="s">
        <v>685</v>
      </c>
      <c r="D16" s="5" t="s">
        <v>686</v>
      </c>
      <c r="E16" s="5" t="s">
        <v>687</v>
      </c>
      <c r="F16" s="5" t="s">
        <v>688</v>
      </c>
      <c r="G16" s="5" t="s">
        <v>2288</v>
      </c>
      <c r="H16" s="25" t="s">
        <v>2289</v>
      </c>
      <c r="I16" s="5" t="s">
        <v>622</v>
      </c>
      <c r="J16" s="5" t="s">
        <v>2268</v>
      </c>
    </row>
    <row r="17" customFormat="false" ht="43.5" hidden="false" customHeight="true" outlineLevel="0" collapsed="false">
      <c r="A17" s="4" t="s">
        <v>690</v>
      </c>
      <c r="B17" s="4" t="s">
        <v>691</v>
      </c>
      <c r="C17" s="4" t="s">
        <v>692</v>
      </c>
      <c r="D17" s="4" t="s">
        <v>693</v>
      </c>
      <c r="E17" s="4" t="s">
        <v>633</v>
      </c>
      <c r="F17" s="4" t="s">
        <v>694</v>
      </c>
      <c r="G17" s="4" t="s">
        <v>2290</v>
      </c>
      <c r="H17" s="24" t="s">
        <v>2291</v>
      </c>
      <c r="I17" s="4" t="s">
        <v>622</v>
      </c>
      <c r="J17" s="4" t="s">
        <v>2268</v>
      </c>
    </row>
    <row r="18" customFormat="false" ht="43.5" hidden="false" customHeight="true" outlineLevel="0" collapsed="false">
      <c r="A18" s="5" t="s">
        <v>696</v>
      </c>
      <c r="B18" s="5" t="s">
        <v>219</v>
      </c>
      <c r="C18" s="5" t="s">
        <v>697</v>
      </c>
      <c r="D18" s="5" t="s">
        <v>698</v>
      </c>
      <c r="E18" s="5" t="s">
        <v>640</v>
      </c>
      <c r="F18" s="5" t="s">
        <v>699</v>
      </c>
      <c r="G18" s="5" t="s">
        <v>2292</v>
      </c>
      <c r="H18" s="25" t="s">
        <v>2293</v>
      </c>
      <c r="I18" s="5" t="s">
        <v>622</v>
      </c>
      <c r="J18" s="5" t="s">
        <v>2268</v>
      </c>
    </row>
    <row r="19" customFormat="false" ht="43.5" hidden="false" customHeight="true" outlineLevel="0" collapsed="false">
      <c r="A19" s="4" t="s">
        <v>701</v>
      </c>
      <c r="B19" s="4" t="s">
        <v>367</v>
      </c>
      <c r="C19" s="4" t="s">
        <v>702</v>
      </c>
      <c r="D19" s="4" t="s">
        <v>703</v>
      </c>
      <c r="E19" s="4" t="s">
        <v>704</v>
      </c>
      <c r="F19" s="4" t="s">
        <v>705</v>
      </c>
      <c r="G19" s="4" t="s">
        <v>2294</v>
      </c>
      <c r="H19" s="24" t="s">
        <v>2295</v>
      </c>
      <c r="I19" s="4" t="s">
        <v>622</v>
      </c>
      <c r="J19" s="4" t="s">
        <v>2268</v>
      </c>
    </row>
    <row r="20" customFormat="false" ht="43.5" hidden="false" customHeight="true" outlineLevel="0" collapsed="false">
      <c r="A20" s="5" t="s">
        <v>707</v>
      </c>
      <c r="B20" s="5" t="s">
        <v>367</v>
      </c>
      <c r="C20" s="5" t="s">
        <v>708</v>
      </c>
      <c r="D20" s="5" t="s">
        <v>709</v>
      </c>
      <c r="E20" s="5" t="s">
        <v>704</v>
      </c>
      <c r="F20" s="5" t="s">
        <v>710</v>
      </c>
      <c r="G20" s="5" t="s">
        <v>2296</v>
      </c>
      <c r="H20" s="25" t="s">
        <v>2297</v>
      </c>
      <c r="I20" s="5" t="s">
        <v>622</v>
      </c>
      <c r="J20" s="5" t="s">
        <v>2268</v>
      </c>
    </row>
    <row r="21" customFormat="false" ht="43.5" hidden="false" customHeight="true" outlineLevel="0" collapsed="false">
      <c r="A21" s="4" t="s">
        <v>712</v>
      </c>
      <c r="B21" s="4" t="s">
        <v>367</v>
      </c>
      <c r="C21" s="4" t="s">
        <v>713</v>
      </c>
      <c r="D21" s="4" t="s">
        <v>714</v>
      </c>
      <c r="E21" s="4" t="s">
        <v>633</v>
      </c>
      <c r="F21" s="4" t="s">
        <v>715</v>
      </c>
      <c r="G21" s="4" t="s">
        <v>2298</v>
      </c>
      <c r="H21" s="24" t="s">
        <v>2299</v>
      </c>
      <c r="I21" s="4" t="s">
        <v>622</v>
      </c>
      <c r="J21" s="4" t="s">
        <v>2268</v>
      </c>
    </row>
    <row r="22" customFormat="false" ht="43.5" hidden="false" customHeight="true" outlineLevel="0" collapsed="false">
      <c r="A22" s="5" t="s">
        <v>717</v>
      </c>
      <c r="B22" s="5" t="s">
        <v>248</v>
      </c>
      <c r="C22" s="5" t="s">
        <v>718</v>
      </c>
      <c r="D22" s="5" t="s">
        <v>719</v>
      </c>
      <c r="E22" s="5" t="s">
        <v>720</v>
      </c>
      <c r="F22" s="5" t="s">
        <v>721</v>
      </c>
      <c r="G22" s="5" t="s">
        <v>2300</v>
      </c>
      <c r="H22" s="25" t="s">
        <v>2301</v>
      </c>
      <c r="I22" s="5" t="s">
        <v>622</v>
      </c>
      <c r="J22" s="5" t="s">
        <v>2268</v>
      </c>
    </row>
    <row r="23" customFormat="false" ht="43.5" hidden="false" customHeight="true" outlineLevel="0" collapsed="false">
      <c r="A23" s="4" t="s">
        <v>723</v>
      </c>
      <c r="B23" s="4" t="s">
        <v>248</v>
      </c>
      <c r="C23" s="4" t="s">
        <v>724</v>
      </c>
      <c r="D23" s="4" t="s">
        <v>725</v>
      </c>
      <c r="E23" s="4" t="s">
        <v>704</v>
      </c>
      <c r="F23" s="4" t="s">
        <v>726</v>
      </c>
      <c r="G23" s="4" t="s">
        <v>2302</v>
      </c>
      <c r="H23" s="24" t="s">
        <v>2303</v>
      </c>
      <c r="I23" s="4" t="s">
        <v>622</v>
      </c>
      <c r="J23" s="4" t="s">
        <v>2268</v>
      </c>
    </row>
    <row r="24" customFormat="false" ht="43.5" hidden="false" customHeight="true" outlineLevel="0" collapsed="false">
      <c r="A24" s="5" t="s">
        <v>728</v>
      </c>
      <c r="B24" s="5" t="s">
        <v>248</v>
      </c>
      <c r="C24" s="5" t="s">
        <v>729</v>
      </c>
      <c r="D24" s="5" t="s">
        <v>730</v>
      </c>
      <c r="E24" s="5" t="s">
        <v>704</v>
      </c>
      <c r="F24" s="5" t="s">
        <v>731</v>
      </c>
      <c r="G24" s="5" t="s">
        <v>2304</v>
      </c>
      <c r="H24" s="25" t="s">
        <v>2305</v>
      </c>
      <c r="I24" s="5" t="s">
        <v>622</v>
      </c>
      <c r="J24" s="5" t="s">
        <v>2268</v>
      </c>
    </row>
    <row r="25" customFormat="false" ht="43.5" hidden="false" customHeight="true" outlineLevel="0" collapsed="false">
      <c r="A25" s="4" t="s">
        <v>733</v>
      </c>
      <c r="B25" s="4" t="s">
        <v>248</v>
      </c>
      <c r="C25" s="4" t="s">
        <v>734</v>
      </c>
      <c r="D25" s="4" t="s">
        <v>735</v>
      </c>
      <c r="E25" s="4" t="s">
        <v>704</v>
      </c>
      <c r="F25" s="4" t="s">
        <v>736</v>
      </c>
      <c r="G25" s="4" t="s">
        <v>2306</v>
      </c>
      <c r="H25" s="24" t="s">
        <v>2307</v>
      </c>
      <c r="I25" s="4" t="s">
        <v>622</v>
      </c>
      <c r="J25" s="4" t="s">
        <v>2268</v>
      </c>
    </row>
    <row r="26" customFormat="false" ht="43.5" hidden="false" customHeight="true" outlineLevel="0" collapsed="false">
      <c r="A26" s="5" t="s">
        <v>737</v>
      </c>
      <c r="B26" s="5" t="s">
        <v>248</v>
      </c>
      <c r="C26" s="5" t="s">
        <v>738</v>
      </c>
      <c r="D26" s="5" t="s">
        <v>739</v>
      </c>
      <c r="E26" s="5" t="s">
        <v>704</v>
      </c>
      <c r="F26" s="5" t="s">
        <v>740</v>
      </c>
      <c r="G26" s="5" t="s">
        <v>2308</v>
      </c>
      <c r="H26" s="25" t="s">
        <v>2309</v>
      </c>
      <c r="I26" s="5" t="s">
        <v>622</v>
      </c>
      <c r="J26" s="5" t="s">
        <v>2268</v>
      </c>
    </row>
    <row r="27" customFormat="false" ht="43.5" hidden="false" customHeight="true" outlineLevel="0" collapsed="false">
      <c r="A27" s="4" t="s">
        <v>741</v>
      </c>
      <c r="B27" s="4" t="s">
        <v>248</v>
      </c>
      <c r="C27" s="4" t="s">
        <v>742</v>
      </c>
      <c r="D27" s="4" t="s">
        <v>743</v>
      </c>
      <c r="E27" s="4" t="s">
        <v>704</v>
      </c>
      <c r="F27" s="4" t="s">
        <v>744</v>
      </c>
      <c r="G27" s="4" t="s">
        <v>2310</v>
      </c>
      <c r="H27" s="24" t="s">
        <v>2311</v>
      </c>
      <c r="I27" s="4" t="s">
        <v>622</v>
      </c>
      <c r="J27" s="4" t="s">
        <v>2268</v>
      </c>
    </row>
    <row r="28" customFormat="false" ht="43.5" hidden="false" customHeight="true" outlineLevel="0" collapsed="false">
      <c r="A28" s="5" t="s">
        <v>746</v>
      </c>
      <c r="B28" s="5" t="s">
        <v>368</v>
      </c>
      <c r="C28" s="5" t="s">
        <v>747</v>
      </c>
      <c r="D28" s="5" t="s">
        <v>748</v>
      </c>
      <c r="E28" s="5" t="s">
        <v>704</v>
      </c>
      <c r="F28" s="5" t="s">
        <v>749</v>
      </c>
      <c r="G28" s="5" t="s">
        <v>2312</v>
      </c>
      <c r="H28" s="25" t="s">
        <v>2313</v>
      </c>
      <c r="I28" s="5" t="s">
        <v>649</v>
      </c>
      <c r="J28" s="5" t="s">
        <v>2268</v>
      </c>
    </row>
    <row r="29" customFormat="false" ht="43.5" hidden="false" customHeight="true" outlineLevel="0" collapsed="false">
      <c r="A29" s="4" t="s">
        <v>751</v>
      </c>
      <c r="B29" s="4" t="s">
        <v>368</v>
      </c>
      <c r="C29" s="4" t="s">
        <v>752</v>
      </c>
      <c r="D29" s="4" t="s">
        <v>753</v>
      </c>
      <c r="E29" s="4" t="s">
        <v>704</v>
      </c>
      <c r="F29" s="4" t="s">
        <v>754</v>
      </c>
      <c r="G29" s="4" t="s">
        <v>2314</v>
      </c>
      <c r="H29" s="24" t="s">
        <v>2315</v>
      </c>
      <c r="I29" s="4" t="s">
        <v>622</v>
      </c>
      <c r="J29" s="4" t="s">
        <v>2268</v>
      </c>
    </row>
    <row r="30" customFormat="false" ht="43.5" hidden="false" customHeight="true" outlineLevel="0" collapsed="false">
      <c r="A30" s="5" t="s">
        <v>756</v>
      </c>
      <c r="B30" s="5" t="s">
        <v>368</v>
      </c>
      <c r="C30" s="5" t="s">
        <v>757</v>
      </c>
      <c r="D30" s="5" t="s">
        <v>758</v>
      </c>
      <c r="E30" s="5" t="s">
        <v>704</v>
      </c>
      <c r="F30" s="5" t="s">
        <v>759</v>
      </c>
      <c r="G30" s="5" t="s">
        <v>2316</v>
      </c>
      <c r="H30" s="25" t="s">
        <v>2317</v>
      </c>
      <c r="I30" s="5" t="s">
        <v>622</v>
      </c>
      <c r="J30" s="5" t="s">
        <v>2268</v>
      </c>
    </row>
    <row r="31" customFormat="false" ht="43.5" hidden="false" customHeight="true" outlineLevel="0" collapsed="false">
      <c r="A31" s="4" t="s">
        <v>760</v>
      </c>
      <c r="B31" s="4" t="s">
        <v>248</v>
      </c>
      <c r="C31" s="4" t="s">
        <v>761</v>
      </c>
      <c r="D31" s="4" t="s">
        <v>762</v>
      </c>
      <c r="E31" s="4" t="s">
        <v>704</v>
      </c>
      <c r="F31" s="4" t="s">
        <v>763</v>
      </c>
      <c r="G31" s="4" t="s">
        <v>2318</v>
      </c>
      <c r="H31" s="24" t="s">
        <v>2319</v>
      </c>
      <c r="I31" s="4" t="s">
        <v>622</v>
      </c>
      <c r="J31" s="4" t="s">
        <v>2268</v>
      </c>
    </row>
    <row r="32" customFormat="false" ht="43.5" hidden="false" customHeight="true" outlineLevel="0" collapsed="false">
      <c r="A32" s="5" t="s">
        <v>765</v>
      </c>
      <c r="B32" s="5" t="s">
        <v>248</v>
      </c>
      <c r="C32" s="5" t="s">
        <v>766</v>
      </c>
      <c r="D32" s="5" t="s">
        <v>767</v>
      </c>
      <c r="E32" s="5" t="s">
        <v>704</v>
      </c>
      <c r="F32" s="5" t="s">
        <v>768</v>
      </c>
      <c r="G32" s="5" t="s">
        <v>2320</v>
      </c>
      <c r="H32" s="25" t="s">
        <v>2321</v>
      </c>
      <c r="I32" s="5" t="s">
        <v>622</v>
      </c>
      <c r="J32" s="5" t="s">
        <v>2268</v>
      </c>
    </row>
    <row r="33" customFormat="false" ht="43.5" hidden="false" customHeight="true" outlineLevel="0" collapsed="false">
      <c r="A33" s="4" t="s">
        <v>769</v>
      </c>
      <c r="B33" s="4" t="s">
        <v>770</v>
      </c>
      <c r="C33" s="4" t="s">
        <v>771</v>
      </c>
      <c r="D33" s="4" t="s">
        <v>772</v>
      </c>
      <c r="E33" s="4" t="s">
        <v>773</v>
      </c>
      <c r="F33" s="4" t="s">
        <v>774</v>
      </c>
      <c r="G33" s="4" t="s">
        <v>2322</v>
      </c>
      <c r="H33" s="24" t="s">
        <v>2323</v>
      </c>
      <c r="I33" s="4" t="s">
        <v>622</v>
      </c>
      <c r="J33" s="4" t="s">
        <v>2268</v>
      </c>
    </row>
    <row r="34" customFormat="false" ht="43.5" hidden="false" customHeight="true" outlineLevel="0" collapsed="false">
      <c r="A34" s="5" t="s">
        <v>776</v>
      </c>
      <c r="B34" s="5" t="s">
        <v>770</v>
      </c>
      <c r="C34" s="5" t="s">
        <v>777</v>
      </c>
      <c r="D34" s="5" t="s">
        <v>772</v>
      </c>
      <c r="E34" s="5" t="s">
        <v>773</v>
      </c>
      <c r="F34" s="5" t="s">
        <v>774</v>
      </c>
      <c r="G34" s="5" t="s">
        <v>2324</v>
      </c>
      <c r="H34" s="25" t="s">
        <v>2325</v>
      </c>
      <c r="I34" s="5" t="s">
        <v>622</v>
      </c>
      <c r="J34" s="5" t="s">
        <v>2268</v>
      </c>
    </row>
    <row r="35" customFormat="false" ht="43.5" hidden="false" customHeight="true" outlineLevel="0" collapsed="false">
      <c r="A35" s="4" t="s">
        <v>778</v>
      </c>
      <c r="B35" s="4" t="s">
        <v>770</v>
      </c>
      <c r="C35" s="4" t="s">
        <v>779</v>
      </c>
      <c r="D35" s="4" t="s">
        <v>772</v>
      </c>
      <c r="E35" s="4" t="s">
        <v>780</v>
      </c>
      <c r="F35" s="4" t="s">
        <v>774</v>
      </c>
      <c r="G35" s="4" t="s">
        <v>2326</v>
      </c>
      <c r="H35" s="24" t="s">
        <v>2327</v>
      </c>
      <c r="I35" s="4" t="s">
        <v>622</v>
      </c>
      <c r="J35" s="4" t="s">
        <v>2268</v>
      </c>
    </row>
    <row r="36" customFormat="false" ht="43.5" hidden="false" customHeight="true" outlineLevel="0" collapsed="false">
      <c r="A36" s="5" t="s">
        <v>782</v>
      </c>
      <c r="B36" s="5" t="s">
        <v>770</v>
      </c>
      <c r="C36" s="5" t="s">
        <v>783</v>
      </c>
      <c r="D36" s="5" t="s">
        <v>772</v>
      </c>
      <c r="E36" s="5" t="s">
        <v>784</v>
      </c>
      <c r="F36" s="5" t="s">
        <v>774</v>
      </c>
      <c r="G36" s="5" t="s">
        <v>2328</v>
      </c>
      <c r="H36" s="25" t="s">
        <v>2329</v>
      </c>
      <c r="I36" s="5" t="s">
        <v>622</v>
      </c>
      <c r="J36" s="5" t="s">
        <v>2268</v>
      </c>
    </row>
    <row r="37" customFormat="false" ht="43.5" hidden="false" customHeight="true" outlineLevel="0" collapsed="false">
      <c r="A37" s="4" t="s">
        <v>786</v>
      </c>
      <c r="B37" s="4" t="s">
        <v>770</v>
      </c>
      <c r="C37" s="4" t="s">
        <v>787</v>
      </c>
      <c r="D37" s="4" t="s">
        <v>772</v>
      </c>
      <c r="E37" s="4" t="s">
        <v>788</v>
      </c>
      <c r="F37" s="4" t="s">
        <v>774</v>
      </c>
      <c r="G37" s="4" t="s">
        <v>2330</v>
      </c>
      <c r="H37" s="24" t="s">
        <v>2331</v>
      </c>
      <c r="I37" s="4" t="s">
        <v>622</v>
      </c>
      <c r="J37" s="4" t="s">
        <v>2268</v>
      </c>
    </row>
    <row r="38" customFormat="false" ht="43.5" hidden="false" customHeight="true" outlineLevel="0" collapsed="false">
      <c r="A38" s="5" t="s">
        <v>790</v>
      </c>
      <c r="B38" s="5" t="s">
        <v>770</v>
      </c>
      <c r="C38" s="5" t="s">
        <v>791</v>
      </c>
      <c r="D38" s="5" t="s">
        <v>772</v>
      </c>
      <c r="E38" s="5" t="s">
        <v>792</v>
      </c>
      <c r="F38" s="5" t="s">
        <v>774</v>
      </c>
      <c r="G38" s="5" t="s">
        <v>2332</v>
      </c>
      <c r="H38" s="25" t="s">
        <v>2333</v>
      </c>
      <c r="I38" s="5" t="s">
        <v>622</v>
      </c>
      <c r="J38" s="5" t="s">
        <v>2268</v>
      </c>
    </row>
    <row r="39" customFormat="false" ht="43.5" hidden="false" customHeight="true" outlineLevel="0" collapsed="false">
      <c r="A39" s="4" t="s">
        <v>794</v>
      </c>
      <c r="B39" s="4" t="s">
        <v>770</v>
      </c>
      <c r="C39" s="4" t="s">
        <v>795</v>
      </c>
      <c r="D39" s="4" t="s">
        <v>772</v>
      </c>
      <c r="E39" s="4" t="s">
        <v>704</v>
      </c>
      <c r="F39" s="4" t="s">
        <v>796</v>
      </c>
      <c r="G39" s="4" t="s">
        <v>2334</v>
      </c>
      <c r="H39" s="24" t="s">
        <v>2335</v>
      </c>
      <c r="I39" s="4" t="s">
        <v>622</v>
      </c>
      <c r="J39" s="4" t="s">
        <v>2268</v>
      </c>
    </row>
    <row r="40" customFormat="false" ht="43.5" hidden="false" customHeight="true" outlineLevel="0" collapsed="false">
      <c r="A40" s="5" t="s">
        <v>798</v>
      </c>
      <c r="B40" s="5" t="s">
        <v>770</v>
      </c>
      <c r="C40" s="5" t="s">
        <v>799</v>
      </c>
      <c r="D40" s="5" t="s">
        <v>800</v>
      </c>
      <c r="E40" s="5" t="s">
        <v>704</v>
      </c>
      <c r="F40" s="5" t="s">
        <v>801</v>
      </c>
      <c r="G40" s="5" t="s">
        <v>2336</v>
      </c>
      <c r="H40" s="25" t="s">
        <v>2337</v>
      </c>
      <c r="I40" s="5" t="s">
        <v>622</v>
      </c>
      <c r="J40" s="5" t="s">
        <v>2268</v>
      </c>
    </row>
    <row r="41" customFormat="false" ht="43.5" hidden="false" customHeight="true" outlineLevel="0" collapsed="false">
      <c r="A41" s="4" t="s">
        <v>803</v>
      </c>
      <c r="B41" s="4" t="s">
        <v>804</v>
      </c>
      <c r="C41" s="4" t="s">
        <v>805</v>
      </c>
      <c r="D41" s="4" t="s">
        <v>714</v>
      </c>
      <c r="E41" s="4" t="s">
        <v>633</v>
      </c>
      <c r="F41" s="4" t="s">
        <v>806</v>
      </c>
      <c r="G41" s="4" t="s">
        <v>2338</v>
      </c>
      <c r="H41" s="24" t="s">
        <v>2339</v>
      </c>
      <c r="I41" s="4" t="s">
        <v>649</v>
      </c>
      <c r="J41" s="4" t="s">
        <v>2268</v>
      </c>
    </row>
    <row r="42" customFormat="false" ht="43.5" hidden="false" customHeight="true" outlineLevel="0" collapsed="false">
      <c r="A42" s="5" t="s">
        <v>808</v>
      </c>
      <c r="B42" s="5" t="s">
        <v>770</v>
      </c>
      <c r="C42" s="5" t="s">
        <v>809</v>
      </c>
      <c r="D42" s="5" t="s">
        <v>772</v>
      </c>
      <c r="E42" s="5" t="s">
        <v>704</v>
      </c>
      <c r="F42" s="5" t="s">
        <v>796</v>
      </c>
      <c r="G42" s="5" t="s">
        <v>2340</v>
      </c>
      <c r="H42" s="25" t="s">
        <v>2341</v>
      </c>
      <c r="I42" s="5" t="s">
        <v>649</v>
      </c>
      <c r="J42" s="5" t="s">
        <v>2268</v>
      </c>
    </row>
    <row r="43" customFormat="false" ht="43.5" hidden="false" customHeight="true" outlineLevel="0" collapsed="false">
      <c r="A43" s="4" t="s">
        <v>811</v>
      </c>
      <c r="B43" s="4" t="s">
        <v>770</v>
      </c>
      <c r="C43" s="4" t="s">
        <v>812</v>
      </c>
      <c r="D43" s="4" t="s">
        <v>772</v>
      </c>
      <c r="E43" s="4" t="s">
        <v>813</v>
      </c>
      <c r="F43" s="4" t="s">
        <v>774</v>
      </c>
      <c r="G43" s="4" t="s">
        <v>2342</v>
      </c>
      <c r="H43" s="24" t="s">
        <v>2343</v>
      </c>
      <c r="I43" s="4" t="s">
        <v>649</v>
      </c>
      <c r="J43" s="4" t="s">
        <v>2268</v>
      </c>
    </row>
    <row r="44" customFormat="false" ht="43.5" hidden="false" customHeight="true" outlineLevel="0" collapsed="false">
      <c r="A44" s="5" t="s">
        <v>815</v>
      </c>
      <c r="B44" s="5" t="s">
        <v>770</v>
      </c>
      <c r="C44" s="5" t="s">
        <v>816</v>
      </c>
      <c r="D44" s="5" t="s">
        <v>817</v>
      </c>
      <c r="E44" s="5" t="s">
        <v>818</v>
      </c>
      <c r="F44" s="5" t="s">
        <v>819</v>
      </c>
      <c r="G44" s="5" t="s">
        <v>2344</v>
      </c>
      <c r="H44" s="25" t="s">
        <v>2345</v>
      </c>
      <c r="I44" s="5" t="s">
        <v>622</v>
      </c>
      <c r="J44" s="5" t="s">
        <v>2268</v>
      </c>
    </row>
    <row r="45" customFormat="false" ht="43.5" hidden="false" customHeight="true" outlineLevel="0" collapsed="false">
      <c r="A45" s="4" t="s">
        <v>821</v>
      </c>
      <c r="B45" s="4" t="s">
        <v>770</v>
      </c>
      <c r="C45" s="4" t="s">
        <v>822</v>
      </c>
      <c r="D45" s="4" t="s">
        <v>823</v>
      </c>
      <c r="E45" s="4" t="s">
        <v>773</v>
      </c>
      <c r="F45" s="4" t="s">
        <v>774</v>
      </c>
      <c r="G45" s="4" t="s">
        <v>2346</v>
      </c>
      <c r="H45" s="24" t="s">
        <v>2347</v>
      </c>
      <c r="I45" s="4" t="s">
        <v>622</v>
      </c>
      <c r="J45" s="4" t="s">
        <v>2268</v>
      </c>
    </row>
    <row r="46" customFormat="false" ht="43.5" hidden="false" customHeight="true" outlineLevel="0" collapsed="false">
      <c r="A46" s="5" t="s">
        <v>824</v>
      </c>
      <c r="B46" s="5" t="s">
        <v>770</v>
      </c>
      <c r="C46" s="5" t="s">
        <v>825</v>
      </c>
      <c r="D46" s="5" t="s">
        <v>826</v>
      </c>
      <c r="E46" s="5" t="s">
        <v>827</v>
      </c>
      <c r="F46" s="5" t="s">
        <v>828</v>
      </c>
      <c r="G46" s="5" t="s">
        <v>2348</v>
      </c>
      <c r="H46" s="25" t="s">
        <v>2349</v>
      </c>
      <c r="I46" s="5" t="s">
        <v>622</v>
      </c>
      <c r="J46" s="5" t="s">
        <v>2268</v>
      </c>
    </row>
    <row r="47" customFormat="false" ht="43.5" hidden="false" customHeight="true" outlineLevel="0" collapsed="false">
      <c r="A47" s="4" t="s">
        <v>830</v>
      </c>
      <c r="B47" s="4" t="s">
        <v>770</v>
      </c>
      <c r="C47" s="4" t="s">
        <v>831</v>
      </c>
      <c r="D47" s="4" t="s">
        <v>817</v>
      </c>
      <c r="E47" s="4" t="s">
        <v>818</v>
      </c>
      <c r="F47" s="4" t="s">
        <v>819</v>
      </c>
      <c r="G47" s="4" t="s">
        <v>2350</v>
      </c>
      <c r="H47" s="24" t="s">
        <v>2351</v>
      </c>
      <c r="I47" s="4" t="s">
        <v>622</v>
      </c>
      <c r="J47" s="4" t="s">
        <v>2268</v>
      </c>
    </row>
    <row r="48" customFormat="false" ht="43.5" hidden="false" customHeight="true" outlineLevel="0" collapsed="false">
      <c r="A48" s="5" t="s">
        <v>833</v>
      </c>
      <c r="B48" s="5" t="s">
        <v>770</v>
      </c>
      <c r="C48" s="5" t="s">
        <v>834</v>
      </c>
      <c r="D48" s="5" t="s">
        <v>835</v>
      </c>
      <c r="E48" s="5" t="s">
        <v>704</v>
      </c>
      <c r="F48" s="5" t="s">
        <v>796</v>
      </c>
      <c r="G48" s="5" t="s">
        <v>2352</v>
      </c>
      <c r="H48" s="25" t="s">
        <v>2353</v>
      </c>
      <c r="I48" s="5" t="s">
        <v>622</v>
      </c>
      <c r="J48" s="5" t="s">
        <v>2268</v>
      </c>
    </row>
    <row r="49" customFormat="false" ht="43.5" hidden="false" customHeight="true" outlineLevel="0" collapsed="false">
      <c r="A49" s="4" t="s">
        <v>837</v>
      </c>
      <c r="B49" s="4" t="s">
        <v>770</v>
      </c>
      <c r="C49" s="4" t="s">
        <v>838</v>
      </c>
      <c r="D49" s="4" t="s">
        <v>839</v>
      </c>
      <c r="E49" s="4" t="s">
        <v>840</v>
      </c>
      <c r="F49" s="4" t="s">
        <v>774</v>
      </c>
      <c r="G49" s="4" t="s">
        <v>2354</v>
      </c>
      <c r="H49" s="24" t="s">
        <v>2355</v>
      </c>
      <c r="I49" s="4" t="s">
        <v>622</v>
      </c>
      <c r="J49" s="4" t="s">
        <v>2268</v>
      </c>
    </row>
    <row r="50" customFormat="false" ht="43.5" hidden="false" customHeight="true" outlineLevel="0" collapsed="false">
      <c r="A50" s="5" t="s">
        <v>842</v>
      </c>
      <c r="B50" s="5" t="s">
        <v>770</v>
      </c>
      <c r="C50" s="5" t="s">
        <v>843</v>
      </c>
      <c r="D50" s="5" t="s">
        <v>844</v>
      </c>
      <c r="E50" s="5" t="s">
        <v>845</v>
      </c>
      <c r="F50" s="5" t="s">
        <v>774</v>
      </c>
      <c r="G50" s="5" t="s">
        <v>2356</v>
      </c>
      <c r="H50" s="25" t="s">
        <v>2357</v>
      </c>
      <c r="I50" s="5" t="s">
        <v>622</v>
      </c>
      <c r="J50" s="5" t="s">
        <v>2268</v>
      </c>
    </row>
    <row r="51" customFormat="false" ht="43.5" hidden="false" customHeight="true" outlineLevel="0" collapsed="false">
      <c r="A51" s="4" t="s">
        <v>847</v>
      </c>
      <c r="B51" s="4" t="s">
        <v>770</v>
      </c>
      <c r="C51" s="4" t="s">
        <v>848</v>
      </c>
      <c r="D51" s="4" t="s">
        <v>823</v>
      </c>
      <c r="E51" s="4" t="s">
        <v>773</v>
      </c>
      <c r="F51" s="4" t="s">
        <v>774</v>
      </c>
      <c r="G51" s="4" t="s">
        <v>2358</v>
      </c>
      <c r="H51" s="24" t="s">
        <v>2359</v>
      </c>
      <c r="I51" s="4" t="s">
        <v>622</v>
      </c>
      <c r="J51" s="4" t="s">
        <v>2268</v>
      </c>
    </row>
    <row r="52" customFormat="false" ht="43.5" hidden="false" customHeight="true" outlineLevel="0" collapsed="false">
      <c r="A52" s="5" t="s">
        <v>849</v>
      </c>
      <c r="B52" s="5" t="s">
        <v>770</v>
      </c>
      <c r="C52" s="5" t="s">
        <v>850</v>
      </c>
      <c r="D52" s="5" t="s">
        <v>772</v>
      </c>
      <c r="E52" s="5" t="s">
        <v>813</v>
      </c>
      <c r="F52" s="5" t="s">
        <v>774</v>
      </c>
      <c r="G52" s="5" t="s">
        <v>2360</v>
      </c>
      <c r="H52" s="25" t="s">
        <v>2361</v>
      </c>
      <c r="I52" s="5" t="s">
        <v>649</v>
      </c>
      <c r="J52" s="5" t="s">
        <v>2268</v>
      </c>
    </row>
    <row r="53" customFormat="false" ht="43.5" hidden="false" customHeight="true" outlineLevel="0" collapsed="false">
      <c r="A53" s="4" t="s">
        <v>851</v>
      </c>
      <c r="B53" s="4" t="s">
        <v>770</v>
      </c>
      <c r="C53" s="4" t="s">
        <v>852</v>
      </c>
      <c r="D53" s="4" t="s">
        <v>772</v>
      </c>
      <c r="E53" s="4" t="s">
        <v>813</v>
      </c>
      <c r="F53" s="4" t="s">
        <v>774</v>
      </c>
      <c r="G53" s="4" t="s">
        <v>2362</v>
      </c>
      <c r="H53" s="24" t="s">
        <v>2363</v>
      </c>
      <c r="I53" s="4" t="s">
        <v>649</v>
      </c>
      <c r="J53" s="4" t="s">
        <v>2268</v>
      </c>
    </row>
    <row r="54" customFormat="false" ht="43.5" hidden="false" customHeight="true" outlineLevel="0" collapsed="false">
      <c r="A54" s="5" t="s">
        <v>853</v>
      </c>
      <c r="B54" s="5" t="s">
        <v>770</v>
      </c>
      <c r="C54" s="5" t="s">
        <v>854</v>
      </c>
      <c r="D54" s="5" t="s">
        <v>772</v>
      </c>
      <c r="E54" s="5" t="s">
        <v>813</v>
      </c>
      <c r="F54" s="5" t="s">
        <v>774</v>
      </c>
      <c r="G54" s="5" t="s">
        <v>2364</v>
      </c>
      <c r="H54" s="25" t="s">
        <v>2365</v>
      </c>
      <c r="I54" s="5" t="s">
        <v>622</v>
      </c>
      <c r="J54" s="5" t="s">
        <v>2268</v>
      </c>
    </row>
  </sheetData>
  <autoFilter ref="A4:J4"/>
  <conditionalFormatting sqref="I5:I54">
    <cfRule type="cellIs" priority="2" operator="equal" aboveAverage="0" equalAverage="0" bottom="0" percent="0" rank="0" text="" dxfId="5">
      <formula>"Verified — primary source"</formula>
    </cfRule>
    <cfRule type="cellIs" priority="3" operator="equal" aboveAverage="0" equalAverage="0" bottom="0" percent="0" rank="0" text="" dxfId="4">
      <formula>"Verified — secondary source"</formula>
    </cfRule>
    <cfRule type="cellIs" priority="4" operator="equal" aboveAverage="0" equalAverage="0" bottom="0" percent="0" rank="0" text="" dxfId="2">
      <formula>"Unverified — not independently confirmed"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F"/>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7.35" hidden="false" customHeight="false" outlineLevel="0" collapsed="false">
      <c r="A1" s="1" t="s">
        <v>2366</v>
      </c>
    </row>
    <row r="2" customFormat="false" ht="15" hidden="false" customHeight="false" outlineLevel="0" collapsed="false">
      <c r="A2" s="2" t="s">
        <v>2367</v>
      </c>
    </row>
    <row r="4" customFormat="false" ht="30" hidden="false" customHeight="true" outlineLevel="0" collapsed="false">
      <c r="A4" s="3" t="s">
        <v>2368</v>
      </c>
      <c r="B4" s="3" t="s">
        <v>75</v>
      </c>
    </row>
    <row r="5" customFormat="false" ht="37.5" hidden="false" customHeight="true" outlineLevel="0" collapsed="false">
      <c r="A5" s="4" t="s">
        <v>2369</v>
      </c>
      <c r="B5" s="4" t="s">
        <v>2370</v>
      </c>
    </row>
    <row r="6" customFormat="false" ht="37.5" hidden="false" customHeight="true" outlineLevel="0" collapsed="false">
      <c r="A6" s="5" t="s">
        <v>2371</v>
      </c>
      <c r="B6" s="5" t="s">
        <v>2372</v>
      </c>
    </row>
    <row r="7" customFormat="false" ht="37.5" hidden="false" customHeight="true" outlineLevel="0" collapsed="false">
      <c r="A7" s="4" t="s">
        <v>2373</v>
      </c>
      <c r="B7" s="4" t="s">
        <v>2374</v>
      </c>
    </row>
    <row r="8" customFormat="false" ht="37.5" hidden="false" customHeight="true" outlineLevel="0" collapsed="false">
      <c r="A8" s="5" t="s">
        <v>2375</v>
      </c>
      <c r="B8" s="5" t="s">
        <v>2376</v>
      </c>
    </row>
    <row r="9" customFormat="false" ht="37.5" hidden="false" customHeight="true" outlineLevel="0" collapsed="false">
      <c r="A9" s="4" t="s">
        <v>2377</v>
      </c>
      <c r="B9" s="4" t="s">
        <v>2378</v>
      </c>
    </row>
    <row r="10" customFormat="false" ht="37.5" hidden="false" customHeight="true" outlineLevel="0" collapsed="false">
      <c r="A10" s="5" t="s">
        <v>149</v>
      </c>
      <c r="B10" s="5" t="s">
        <v>2379</v>
      </c>
    </row>
    <row r="11" customFormat="false" ht="37.5" hidden="false" customHeight="true" outlineLevel="0" collapsed="false">
      <c r="A11" s="4" t="s">
        <v>150</v>
      </c>
      <c r="B11" s="4" t="s">
        <v>2380</v>
      </c>
    </row>
    <row r="12" customFormat="false" ht="37.5" hidden="false" customHeight="true" outlineLevel="0" collapsed="false">
      <c r="A12" s="5" t="s">
        <v>2381</v>
      </c>
      <c r="B12" s="5" t="s">
        <v>2382</v>
      </c>
    </row>
    <row r="13" customFormat="false" ht="37.5" hidden="false" customHeight="true" outlineLevel="0" collapsed="false">
      <c r="A13" s="4" t="s">
        <v>2383</v>
      </c>
      <c r="B13" s="4" t="s">
        <v>2384</v>
      </c>
    </row>
    <row r="14" customFormat="false" ht="37.5" hidden="false" customHeight="true" outlineLevel="0" collapsed="false">
      <c r="A14" s="5" t="s">
        <v>2385</v>
      </c>
      <c r="B14" s="5" t="s">
        <v>2386</v>
      </c>
    </row>
    <row r="15" customFormat="false" ht="37.5" hidden="false" customHeight="true" outlineLevel="0" collapsed="false">
      <c r="A15" s="4" t="s">
        <v>2387</v>
      </c>
      <c r="B15" s="4" t="s">
        <v>2388</v>
      </c>
    </row>
    <row r="16" customFormat="false" ht="37.5" hidden="false" customHeight="true" outlineLevel="0" collapsed="false">
      <c r="A16" s="5" t="s">
        <v>2389</v>
      </c>
      <c r="B16" s="5" t="s">
        <v>2390</v>
      </c>
    </row>
    <row r="17" customFormat="false" ht="37.5" hidden="false" customHeight="true" outlineLevel="0" collapsed="false">
      <c r="A17" s="4" t="s">
        <v>2391</v>
      </c>
      <c r="B17" s="4" t="s">
        <v>2392</v>
      </c>
    </row>
    <row r="18" customFormat="false" ht="37.5" hidden="false" customHeight="true" outlineLevel="0" collapsed="false">
      <c r="A18" s="5" t="s">
        <v>2393</v>
      </c>
      <c r="B18" s="5" t="s">
        <v>2394</v>
      </c>
    </row>
    <row r="19" customFormat="false" ht="37.5" hidden="false" customHeight="true" outlineLevel="0" collapsed="false">
      <c r="A19" s="4" t="s">
        <v>2395</v>
      </c>
      <c r="B19" s="4" t="s">
        <v>2396</v>
      </c>
    </row>
    <row r="20" customFormat="false" ht="37.5" hidden="false" customHeight="true" outlineLevel="0" collapsed="false">
      <c r="A20" s="5" t="s">
        <v>2397</v>
      </c>
      <c r="B20" s="5" t="s">
        <v>2398</v>
      </c>
    </row>
    <row r="21" customFormat="false" ht="37.5" hidden="false" customHeight="true" outlineLevel="0" collapsed="false">
      <c r="A21" s="4" t="s">
        <v>2399</v>
      </c>
      <c r="B21" s="4" t="s">
        <v>2400</v>
      </c>
    </row>
    <row r="22" customFormat="false" ht="37.5" hidden="false" customHeight="true" outlineLevel="0" collapsed="false">
      <c r="A22" s="5" t="s">
        <v>2401</v>
      </c>
      <c r="B22" s="5" t="s">
        <v>2402</v>
      </c>
    </row>
    <row r="23" customFormat="false" ht="37.5" hidden="false" customHeight="true" outlineLevel="0" collapsed="false">
      <c r="A23" s="4" t="s">
        <v>873</v>
      </c>
      <c r="B23" s="4" t="s">
        <v>2403</v>
      </c>
    </row>
    <row r="24" customFormat="false" ht="37.5" hidden="false" customHeight="true" outlineLevel="0" collapsed="false">
      <c r="A24" s="5" t="s">
        <v>880</v>
      </c>
      <c r="B24" s="5" t="s">
        <v>2404</v>
      </c>
    </row>
    <row r="25" customFormat="false" ht="37.5" hidden="false" customHeight="true" outlineLevel="0" collapsed="false">
      <c r="A25" s="4" t="s">
        <v>1139</v>
      </c>
      <c r="B25" s="4" t="s">
        <v>2405</v>
      </c>
    </row>
    <row r="26" customFormat="false" ht="37.5" hidden="false" customHeight="true" outlineLevel="0" collapsed="false">
      <c r="A26" s="5" t="s">
        <v>1105</v>
      </c>
      <c r="B26" s="5" t="s">
        <v>2406</v>
      </c>
    </row>
    <row r="27" customFormat="false" ht="37.5" hidden="false" customHeight="true" outlineLevel="0" collapsed="false">
      <c r="A27" s="4" t="s">
        <v>622</v>
      </c>
      <c r="B27" s="4" t="s">
        <v>2407</v>
      </c>
    </row>
    <row r="28" customFormat="false" ht="37.5" hidden="false" customHeight="true" outlineLevel="0" collapsed="false">
      <c r="A28" s="5" t="s">
        <v>649</v>
      </c>
      <c r="B28" s="5" t="s">
        <v>2408</v>
      </c>
    </row>
    <row r="29" customFormat="false" ht="37.5" hidden="false" customHeight="true" outlineLevel="0" collapsed="false">
      <c r="A29" s="4" t="s">
        <v>1840</v>
      </c>
      <c r="B29" s="4" t="s">
        <v>2409</v>
      </c>
    </row>
  </sheetData>
  <autoFilter ref="A4:B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2026-07-25T14:30:27Z</dcterms:created>
  <dc:creator>openpyxl</dc:creator>
  <dc:description/>
  <dc:language>en-US</dc:language>
  <cp:lastModifiedBy/>
  <dcterms:modified xsi:type="dcterms:W3CDTF">2026-07-25T14:30:28Z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