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MRM framework, policies and capability
Observed gap:
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r>
      </text>
    </comment>
    <comment ref="B12"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3"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4"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5"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6" authorId="0">
      <text>
        <r>
          <rPr>
            <sz val="10"/>
            <rFont val="Arial"/>
            <family val="2"/>
          </rPr>
          <t xml:space="preserve">Pre-implementation testing
Observed gap:
No general bar on using an untested model. Testing expectations exist only within the capital model approval process.</t>
        </r>
      </text>
    </comment>
    <comment ref="B17"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8"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9"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20"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1"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2"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3"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4"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5"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6"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7"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8"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9"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30"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1"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2" authorId="0">
      <text>
        <r>
          <rPr>
            <sz val="10"/>
            <rFont val="Arial"/>
            <family val="2"/>
          </rPr>
          <t xml:space="preserve">Expected credit loss and provisioning models
Observed gap:
This is a genuine strength. APS 220 transposes BCBS d350 Principle 5 into binding Australian form in near-identical language, requiring ADIs to have sound policies and processes to appropriately validate expected credit loss models, and APG 220 directs ADIs to have regard to the Basel guidance. The residual gap is that the obligation to validate exists without a model risk framework defining what validation consists of, who performs it and what follows a finding — and that APRA's own observations record continuing reliance on sizeable judgement-based adjustments that are not consistently well governed.</t>
        </r>
      </text>
    </comment>
    <comment ref="B33"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4"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5"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6"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7"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8"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9"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XXXX: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XXXX: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XXXX: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XXXX:
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r>
      </text>
    </comment>
    <comment ref="L9" authorId="0">
      <text>
        <r>
          <rPr>
            <sz val="10"/>
            <rFont val="Arial"/>
            <family val="2"/>
          </rPr>
          <t xml:space="preserve">Expected position after CPS XXXX:
Require Board approval of the model risk framework and appetite, supported by aggregate, decision-useful reporting rather than model counts.</t>
        </r>
      </text>
    </comment>
    <comment ref="L10" authorId="0">
      <text>
        <r>
          <rPr>
            <sz val="10"/>
            <rFont val="Arial"/>
            <family val="2"/>
          </rPr>
          <t xml:space="preserve">Expected position after CPS XXXX: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XXXX:
Require a documented framework integrated with the risk management framework, policies applied consistently across the entity, and capability and independence sufficient to develop, use, validate, challenge and assure models.</t>
        </r>
      </text>
    </comment>
    <comment ref="L12" authorId="0">
      <text>
        <r>
          <rPr>
            <sz val="10"/>
            <rFont val="Arial"/>
            <family val="2"/>
          </rPr>
          <t xml:space="preserve">Expected position after CPS XXXX:
Require an appetite for model risk expressed so that it can be measured, with limits, thresholds and escalation triggers.</t>
        </r>
      </text>
    </comment>
    <comment ref="L13" authorId="0">
      <text>
        <r>
          <rPr>
            <sz val="10"/>
            <rFont val="Arial"/>
            <family val="2"/>
          </rPr>
          <t xml:space="preserve">Expected position after CPS XXXX:
Require documented development standards, conceptual soundness, consideration of alternatives and recording of limitations across all material models.</t>
        </r>
      </text>
    </comment>
    <comment ref="L14" authorId="0">
      <text>
        <r>
          <rPr>
            <sz val="10"/>
            <rFont val="Arial"/>
            <family val="2"/>
          </rPr>
          <t xml:space="preserve">Expected position after CPS XXXX:
Require model data to be assessed for appropriateness as well as quality, with lineage to source and documented treatment of proxies and synthetic data.</t>
        </r>
      </text>
    </comment>
    <comment ref="L15" authorId="0">
      <text>
        <r>
          <rPr>
            <sz val="10"/>
            <rFont val="Arial"/>
            <family val="2"/>
          </rPr>
          <t xml:space="preserve">Expected position after CPS XXXX:
Adopt the reconstruction test: documentation sufficient for an independent competent person to reproduce material results.</t>
        </r>
      </text>
    </comment>
    <comment ref="L16" authorId="0">
      <text>
        <r>
          <rPr>
            <sz val="10"/>
            <rFont val="Arial"/>
            <family val="2"/>
          </rPr>
          <t xml:space="preserve">Expected position after CPS XXXX:
Establish an explicit gate: a model must not be used for a material purpose until tested and residual limitations accepted.</t>
        </r>
      </text>
    </comment>
    <comment ref="L17" authorId="0">
      <text>
        <r>
          <rPr>
            <sz val="10"/>
            <rFont val="Arial"/>
            <family val="2"/>
          </rPr>
          <t xml:space="preserve">Expected position after CPS XXXX:
Require independent validation for material models, structured around conceptual soundness, outcomes analysis and ongoing model monitoring, at an intensity set by tier.</t>
        </r>
      </text>
    </comment>
    <comment ref="L18" authorId="0">
      <text>
        <r>
          <rPr>
            <sz val="10"/>
            <rFont val="Arial"/>
            <family val="2"/>
          </rPr>
          <t xml:space="preserve">Expected position after CPS XXXX:
Require effective challenge expressly, and expect entities to assess whether it is operating through finding closure routes and severity migration.</t>
        </r>
      </text>
    </comment>
    <comment ref="L19" authorId="0">
      <text>
        <r>
          <rPr>
            <sz val="10"/>
            <rFont val="Arial"/>
            <family val="2"/>
          </rPr>
          <t xml:space="preserve">Expected position after CPS XXXX:
Require version-specific approval for a defined purpose and conditions, recording limits, thresholds, accepted limitations and review date.</t>
        </r>
      </text>
    </comment>
    <comment ref="L20" authorId="0">
      <text>
        <r>
          <rPr>
            <sz val="10"/>
            <rFont val="Arial"/>
            <family val="2"/>
          </rPr>
          <t xml:space="preserve">Expected position after CPS XXXX:
Require pre-production verification against the approved model and re-verification after material infrastructure or pipeline change.</t>
        </r>
      </text>
    </comment>
    <comment ref="L21" authorId="0">
      <text>
        <r>
          <rPr>
            <sz val="10"/>
            <rFont val="Arial"/>
            <family val="2"/>
          </rPr>
          <t xml:space="preserve">Expected position after CPS XXXX:
Require materiality assessment of changes individually and cumulatively, and treat provider-initiated change as an entity change event.</t>
        </r>
      </text>
    </comment>
    <comment ref="L22" authorId="0">
      <text>
        <r>
          <rPr>
            <sz val="10"/>
            <rFont val="Arial"/>
            <family val="2"/>
          </rPr>
          <t xml:space="preserve">Expected position after CPS XXXX:
Require use within approved purpose and conditions, and require limitations to be communicated to users rather than merely recorded.</t>
        </r>
      </text>
    </comment>
    <comment ref="L23" authorId="0">
      <text>
        <r>
          <rPr>
            <sz val="10"/>
            <rFont val="Arial"/>
            <family val="2"/>
          </rPr>
          <t xml:space="preserve">Expected position after CPS XXXX:
Require governance of the basis, quantification, approval, duration and removal of overlays, and aggregate reporting of them.</t>
        </r>
      </text>
    </comment>
    <comment ref="L24" authorId="0">
      <text>
        <r>
          <rPr>
            <sz val="10"/>
            <rFont val="Arial"/>
            <family val="2"/>
          </rPr>
          <t xml:space="preserve">Expected position after CPS XXXX:
Require monitoring at tier-based frequency with pre-set thresholds linked to investigation, restriction, revalidation or withdrawal.</t>
        </r>
      </text>
    </comment>
    <comment ref="L25" authorId="0">
      <text>
        <r>
          <rPr>
            <sz val="10"/>
            <rFont val="Arial"/>
            <family val="2"/>
          </rPr>
          <t xml:space="preserve">Expected position after CPS XXXX:
Require recorded limitations, specific compensating controls, tracked remediation and escalation of overdue material findings.</t>
        </r>
      </text>
    </comment>
    <comment ref="L26" authorId="0">
      <text>
        <r>
          <rPr>
            <sz val="10"/>
            <rFont val="Arial"/>
            <family val="2"/>
          </rPr>
          <t xml:space="preserve">Expected position after CPS XXXX:
Require managed decommissioning covering downstream models, outputs still in force, records and data disposition.</t>
        </r>
      </text>
    </comment>
    <comment ref="L27" authorId="0">
      <text>
        <r>
          <rPr>
            <sz val="10"/>
            <rFont val="Arial"/>
            <family val="2"/>
          </rPr>
          <t xml:space="preserve">Expected position after CPS XXXX:
Apply the full framework to third-party models, require usable information rights without mandating source-code access, and require compensating controls where information is unavailable.</t>
        </r>
      </text>
    </comment>
    <comment ref="L28" authorId="0">
      <text>
        <r>
          <rPr>
            <sz val="10"/>
            <rFont val="Arial"/>
            <family val="2"/>
          </rPr>
          <t xml:space="preserve">Expected position after CPS XXXX:
Require entity-level concentration assessment and support sector-wide monitoring of common model and data dependencies.</t>
        </r>
      </text>
    </comment>
    <comment ref="L29" authorId="0">
      <text>
        <r>
          <rPr>
            <sz val="10"/>
            <rFont val="Arial"/>
            <family val="2"/>
          </rPr>
          <t xml:space="preserve">Expected position after CPS XXXX:
Bring AI models within the model risk framework as a model class, with an explicit boundary rule against the AI risk instrument so nothing falls between.</t>
        </r>
      </text>
    </comment>
    <comment ref="L30" authorId="0">
      <text>
        <r>
          <rPr>
            <sz val="10"/>
            <rFont val="Arial"/>
            <family val="2"/>
          </rPr>
          <t xml:space="preserve">Expected position after CPS XXXX:
Preserve the capital standards unchanged and position CPS XXXX to sit alongside them, with the specific capital requirement governing approval, change and conditions of use.</t>
        </r>
      </text>
    </comment>
    <comment ref="L31" authorId="0">
      <text>
        <r>
          <rPr>
            <sz val="10"/>
            <rFont val="Arial"/>
            <family val="2"/>
          </rPr>
          <t xml:space="preserve">Expected position after CPS XXXX:
Bring valuation and financial reporting models expressly within scope and require independent price verification as a control distinct from validation.</t>
        </r>
      </text>
    </comment>
    <comment ref="L32" authorId="0">
      <text>
        <r>
          <rPr>
            <sz val="10"/>
            <rFont val="Arial"/>
            <family val="2"/>
          </rPr>
          <t xml:space="preserve">Expected position after CPS XXXX:
Connect the existing APS 220 validation obligation to the model risk framework rather than restating it, govern overlays and scenario assumptions as model risk, and publish the review focus areas so entities know what an APRA-required review under the special purpose engagement provisions of the Audit and Related Matters standards, or under APS 220, would examine.</t>
        </r>
      </text>
    </comment>
    <comment ref="L33" authorId="0">
      <text>
        <r>
          <rPr>
            <sz val="10"/>
            <rFont val="Arial"/>
            <family val="2"/>
          </rPr>
          <t xml:space="preserve">Expected position after CPS XXXX:
Require insurers to map which validation elements the actuarial control cycle discharges and which need separate work.</t>
        </r>
      </text>
    </comment>
    <comment ref="L34" authorId="0">
      <text>
        <r>
          <rPr>
            <sz val="10"/>
            <rFont val="Arial"/>
            <family val="2"/>
          </rPr>
          <t xml:space="preserve">Expected position after CPS XXXX:
Name the RSE model classes expressly. Scored against the cross-industry benchmark rather than a comparator, because none exists.</t>
        </r>
      </text>
    </comment>
    <comment ref="L35" authorId="0">
      <text>
        <r>
          <rPr>
            <sz val="10"/>
            <rFont val="Arial"/>
            <family val="2"/>
          </rPr>
          <t xml:space="preserve">Expected position after CPS XXXX:
Bring stress testing, scenario and capital planning models within scope, with explicit treatment of assumption governance and of uncertainty disclosure.</t>
        </r>
      </text>
    </comment>
    <comment ref="L36" authorId="0">
      <text>
        <r>
          <rPr>
            <sz val="10"/>
            <rFont val="Arial"/>
            <family val="2"/>
          </rPr>
          <t xml:space="preserve">Expected position after CPS XXXX:
Require aggregate assessment and consideration in internal capital assessment, permitting qualitative measures where quantification is not yet feasible.</t>
        </r>
      </text>
    </comment>
    <comment ref="L37" authorId="0">
      <text>
        <r>
          <rPr>
            <sz val="10"/>
            <rFont val="Arial"/>
            <family val="2"/>
          </rPr>
          <t xml:space="preserve">Expected position after CPS XXXX:
Specify reconstructability for material models, with retention aligned to the period over which the decisions informed remain material.</t>
        </r>
      </text>
    </comment>
    <comment ref="L38" authorId="0">
      <text>
        <r>
          <rPr>
            <sz val="10"/>
            <rFont val="Arial"/>
            <family val="2"/>
          </rPr>
          <t xml:space="preserve">Expected position after CPS XXXX:
Require periodic independent assessment of framework design and operating effectiveness, including the effectiveness of validation and challenge.</t>
        </r>
      </text>
    </comment>
    <comment ref="L39" authorId="0">
      <text>
        <r>
          <rPr>
            <sz val="10"/>
            <rFont val="Arial"/>
            <family val="2"/>
          </rPr>
          <t xml:space="preserve">Expected position after CPS XXXX: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<sst xmlns="http://schemas.openxmlformats.org/spreadsheetml/2006/main" count="5027" uniqueCount="2434">
  <si>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</si>
  <si>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</si>
  <si>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</si>
  <si>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</si>
  <si>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</si>
  <si>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XXXX and the draft CPG XXXX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</si>
  <si>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</si>
  <si>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</si>
  <si>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</si>
  <si>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</si>
  <si>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</si>
  <si>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</si>
  <si>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</si>
  <si>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</si>
  <si>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</si>
  <si>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</si>
  <si>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</si>
  <si>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</si>
  <si>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</si>
  <si>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</si>
  <si>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</si>
  <si>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</si>
  <si>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</si>
  <si>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</si>
  <si>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</si>
  <si>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</si>
  <si>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</si>
  <si>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</si>
  <si>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</si>
  <si>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</si>
  <si>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</si>
  <si>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</si>
  <si>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XXXX.</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</si>
  <si>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</si>
  <si>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</si>
  <si>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</si>
  <si>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</si>
  <si>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XXXX</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</si>
  <si>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</si>
  <si>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</si>
  <si>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</si>
  <si>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</si>
  <si>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</si>
  <si>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XXXX</t>
  </si>
  <si>
    <t xml:space="preserve">Expected position once CPS XXXX and CPG XXXX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</si>
  <si>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</si>
  <si>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</si>
  <si>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</si>
  <si>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</si>
  <si>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</si>
  <si>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</si>
  <si>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</si>
  <si>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</si>
  <si>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</si>
  <si>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</si>
  <si>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</si>
  <si>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</si>
  <si>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</si>
  <si>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</si>
  <si>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</si>
  <si>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</si>
  <si>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</si>
  <si>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</si>
  <si>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</si>
  <si>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</si>
  <si>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</si>
  <si>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</si>
  <si>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</si>
  <si>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</si>
  <si>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</si>
  <si>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</si>
  <si>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</si>
  <si>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</si>
  <si>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</si>
  <si>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</si>
  <si>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</si>
  <si>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</si>
  <si>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</si>
  <si>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</si>
  <si>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</si>
  <si>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</si>
  <si>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</si>
  <si>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</si>
  <si>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</si>
  <si>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</si>
  <si>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</si>
  <si>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</si>
  <si>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</si>
  <si>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</si>
  <si>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</si>
  <si>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For Australia: binding instrument, guidance, or nothing? Comparator benchmarks are not scored on this dimension, since most of the strongest model risk expectations internationally sit in supervisory guidance rather than law.</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</si>
  <si>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</si>
  <si>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</si>
  <si>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</si>
  <si>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</si>
  <si>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</si>
  <si>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</si>
  <si>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and specifically enough that compliance can be evidenced and supervised. Matches or exceeds the strongest comparator. Scored on the quality and specificity of the expectation, irrespective of the instrument type carrying it — enforceability is scored separately.</t>
  </si>
  <si>
    <t xml:space="preserve">4 — Strong</t>
  </si>
  <si>
    <t xml:space="preserve">Addressed with clear expectations. Minor gaps in specificity or in coverage of edge cases relative to the strongest comparator.</t>
  </si>
  <si>
    <t xml:space="preserve">3 — Adequate</t>
  </si>
  <si>
    <t xml:space="preserve">Addressed, but at a level of generality that leaves material discretion, or in a way that would be difficult to supervise consistently.</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</si>
  <si>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</si>
  <si>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</si>
  <si>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</si>
  <si>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</si>
  <si>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</si>
  <si>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</si>
  <si>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</si>
  <si>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</si>
  <si>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</si>
  <si>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</si>
  <si>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</si>
  <si>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</si>
  <si>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</si>
  <si>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</si>
  <si>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</si>
  <si>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XXXX</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</si>
  <si>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</si>
  <si>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</si>
  <si>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</si>
  <si>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</si>
  <si>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</si>
  <si>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</si>
  <si>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</si>
  <si>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</si>
  <si>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</si>
  <si>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</si>
  <si>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</si>
  <si>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</si>
  <si>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</si>
  <si>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</si>
  <si>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</si>
  <si>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</si>
  <si>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</si>
  <si>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</si>
  <si>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</si>
  <si>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</si>
  <si>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</si>
  <si>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</si>
  <si>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</si>
  <si>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</si>
  <si>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MRM framework, policies and capability</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</si>
  <si>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</si>
  <si>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</si>
  <si>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</si>
  <si>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</si>
  <si>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</si>
  <si>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</si>
  <si>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</si>
  <si>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</si>
  <si>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</si>
  <si>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</si>
  <si>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</si>
  <si>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</si>
  <si>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</si>
  <si>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</si>
  <si>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</si>
  <si>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</si>
  <si>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</si>
  <si>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</si>
  <si>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</si>
  <si>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</si>
  <si>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</si>
  <si>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</si>
  <si>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Expected credit loss and provisioning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</si>
  <si>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</si>
  <si>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</si>
  <si>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</si>
  <si>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</si>
  <si>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</si>
  <si>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</si>
  <si>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</si>
  <si>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</si>
  <si>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XXXX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</si>
  <si>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</si>
  <si>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</si>
  <si>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</si>
  <si>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</si>
  <si>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XXXX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</si>
  <si>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</si>
  <si>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</si>
  <si>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</si>
  <si>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</si>
  <si>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</si>
  <si>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XXXX</t>
  </si>
  <si>
    <t xml:space="preserve">Uplift</t>
  </si>
  <si>
    <t xml:space="preserve">CPS XXXX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</si>
  <si>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</si>
  <si>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</si>
  <si>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</si>
  <si>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</si>
  <si>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</si>
  <si>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</si>
  <si>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</si>
  <si>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</si>
  <si>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M14</t>
  </si>
  <si>
    <t xml:space="preserve">PRA-SS1-23, OSFI-E23, US-MRM-2026</t>
  </si>
  <si>
    <t xml:space="preserve">M04, M05, M15, M16</t>
  </si>
  <si>
    <t xml:space="preserve">PRA-SS1-23, OSFI-E23</t>
  </si>
  <si>
    <t xml:space="preserve">M06, M13</t>
  </si>
  <si>
    <t xml:space="preserve">PRA-SS1-23, OSFI-E23, APRA-CPS220</t>
  </si>
  <si>
    <t xml:space="preserve">M07, M08</t>
  </si>
  <si>
    <t xml:space="preserve">M09, M10, M12</t>
  </si>
  <si>
    <t xml:space="preserve">M11</t>
  </si>
  <si>
    <t xml:space="preserve">US interagency (OCC/FRB/FDIC)</t>
  </si>
  <si>
    <t xml:space="preserve">M17</t>
  </si>
  <si>
    <t xml:space="preserve">US-MRM-2026, PRA-SS1-23, ECB-GIM</t>
  </si>
  <si>
    <t xml:space="preserve">BCBS / ECB</t>
  </si>
  <si>
    <t xml:space="preserve">M18</t>
  </si>
  <si>
    <t xml:space="preserve">BCBS-239, ECB-RDARR, APRA-CPG235, OSFI-E23</t>
  </si>
  <si>
    <t xml:space="preserve">ECB / PRA</t>
  </si>
  <si>
    <t xml:space="preserve">M19</t>
  </si>
  <si>
    <t xml:space="preserve">PRA / ECB</t>
  </si>
  <si>
    <t xml:space="preserve">M20</t>
  </si>
  <si>
    <t xml:space="preserve">M21, M22, M25</t>
  </si>
  <si>
    <t xml:space="preserve">PRA-SS1-23, US-MRM-2026, OSFI-E23, ECB-GIM</t>
  </si>
  <si>
    <t xml:space="preserve">M23</t>
  </si>
  <si>
    <t xml:space="preserve">US-MRM-2026, PRA-SS1-23</t>
  </si>
  <si>
    <t xml:space="preserve">ECB</t>
  </si>
  <si>
    <t xml:space="preserve">M24</t>
  </si>
  <si>
    <t xml:space="preserve">ECB-GIM, OSFI-E23, US-MRM-2026</t>
  </si>
  <si>
    <t xml:space="preserve">M25</t>
  </si>
  <si>
    <t xml:space="preserve">ECB-GIM, US-MRM-2026, OSFI-E23</t>
  </si>
  <si>
    <t xml:space="preserve">M26</t>
  </si>
  <si>
    <t xml:space="preserve">ECB-GIM, OSFI-E23, PRA-SS1-23</t>
  </si>
  <si>
    <t xml:space="preserve">US interagency / ECB</t>
  </si>
  <si>
    <t xml:space="preserve">M27</t>
  </si>
  <si>
    <t xml:space="preserve">US-MRM-2026, ECB-GIM, PRA-SS1-23</t>
  </si>
  <si>
    <t xml:space="preserve">M28</t>
  </si>
  <si>
    <t xml:space="preserve">PRA-SS1-23, ECB-GIM</t>
  </si>
  <si>
    <t xml:space="preserve">US interagency / OSFI</t>
  </si>
  <si>
    <t xml:space="preserve">M29</t>
  </si>
  <si>
    <t xml:space="preserve">US-MRM-2026, OSFI-E23, PRA-SS1-23</t>
  </si>
  <si>
    <t xml:space="preserve">M30</t>
  </si>
  <si>
    <t xml:space="preserve">PRA-SS1-23, US-MRM-2026</t>
  </si>
  <si>
    <t xml:space="preserve">M31</t>
  </si>
  <si>
    <t xml:space="preserve">OSFI-E23, APRA-CPS230</t>
  </si>
  <si>
    <t xml:space="preserve">US interagency / PRA</t>
  </si>
  <si>
    <t xml:space="preserve">M32, M33</t>
  </si>
  <si>
    <t xml:space="preserve">US-MRM-2026, PRA-SS1-23, BCBS-TPRM, APRA-CPS230</t>
  </si>
  <si>
    <t xml:space="preserve">FSB / BCBS</t>
  </si>
  <si>
    <t xml:space="preserve">M33</t>
  </si>
  <si>
    <t xml:space="preserve">FSB-AI-2024, BCBS-TPRM, APRA-CPS230</t>
  </si>
  <si>
    <t xml:space="preserve">M34, M35</t>
  </si>
  <si>
    <t xml:space="preserve">OSFI-E23, MAS-AIMRM-2024, BCBS-DIGI, FSB-AI-2024</t>
  </si>
  <si>
    <t xml:space="preserve">M36</t>
  </si>
  <si>
    <t xml:space="preserve">APRA-APS113, ECB-GIM, ECB-CRR, PRA-SS1-23</t>
  </si>
  <si>
    <t xml:space="preserve">BCBS</t>
  </si>
  <si>
    <t xml:space="preserve">M37</t>
  </si>
  <si>
    <t xml:space="preserve">BCBS-FVP, ECB-GIM</t>
  </si>
  <si>
    <t xml:space="preserve">M38</t>
  </si>
  <si>
    <t xml:space="preserve">APRA-APS220, APRA-APG220, BCBS-ECL-2015, APRA-PROV-2023, AASB-9, APRA-APS310</t>
  </si>
  <si>
    <t xml:space="preserve">M39</t>
  </si>
  <si>
    <t xml:space="preserve">APRA-CPS320, OSFI-E23</t>
  </si>
  <si>
    <t xml:space="preserve">No comparator — assessed against the standard's own cross-industry objective</t>
  </si>
  <si>
    <t xml:space="preserve">M40</t>
  </si>
  <si>
    <t xml:space="preserve">APRA-SPS530, APRA-SPS515</t>
  </si>
  <si>
    <t xml:space="preserve">PRA / BCBS</t>
  </si>
  <si>
    <t xml:space="preserve">M41</t>
  </si>
  <si>
    <t xml:space="preserve">BCBS-STRESS, PRA-SS3-18, APRA-CPS220</t>
  </si>
  <si>
    <t xml:space="preserve">M42</t>
  </si>
  <si>
    <t xml:space="preserve">PRA-SS1-23, ECB-GIM, US-MRM-2026, APRA-SPS114</t>
  </si>
  <si>
    <t xml:space="preserve">M43</t>
  </si>
  <si>
    <t xml:space="preserve">ECB-GIM, US-MRM-2026, APRA-CPS220</t>
  </si>
  <si>
    <t xml:space="preserve">M44</t>
  </si>
  <si>
    <t xml:space="preserve">PRA-SS1-23, US-MRM-2026, ECB-GIM, APRA-CPS220</t>
  </si>
  <si>
    <t xml:space="preserve">M45</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</si>
  <si>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</si>
  <si>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</si>
  <si>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</si>
  <si>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</si>
  <si>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</si>
  <si>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</si>
  <si>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</si>
  <si>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</si>
  <si>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</si>
  <si>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</si>
  <si>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</si>
  <si>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</si>
  <si>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</si>
  <si>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</si>
  <si>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</si>
  <si>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</si>
  <si>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</si>
  <si>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</si>
  <si>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</si>
  <si>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</si>
  <si>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</si>
  <si>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</si>
  <si>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</si>
  <si>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</si>
  <si>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</si>
  <si>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</si>
  <si>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</si>
  <si>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</si>
  <si>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</si>
  <si>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</si>
  <si>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</si>
  <si>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</si>
  <si>
    <t xml:space="preserve">Require a documented framework integrated with the risk management framework, policies applied consistently across the entity, and capability and independence sufficient to develop, use, validate, challenge and assure models.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</si>
  <si>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</si>
  <si>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</si>
  <si>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</si>
  <si>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outcomes analysis and ongoing model monitoring,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</si>
  <si>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</si>
  <si>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</si>
  <si>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</si>
  <si>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</si>
  <si>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</si>
  <si>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</si>
  <si>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</si>
  <si>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</si>
  <si>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</si>
  <si>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</si>
  <si>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</si>
  <si>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</si>
  <si>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</si>
  <si>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</si>
  <si>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</si>
  <si>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</si>
  <si>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</si>
  <si>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</si>
  <si>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</si>
  <si>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</si>
  <si>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</si>
  <si>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</si>
  <si>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</si>
  <si>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</si>
  <si>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</si>
  <si>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</si>
  <si>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</si>
  <si>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</si>
  <si>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</si>
  <si>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</si>
  <si>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</si>
  <si>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</si>
  <si>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</si>
  <si>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</si>
  <si>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</si>
  <si>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financial reporting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</si>
  <si>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</si>
  <si>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</si>
  <si>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</si>
  <si>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</si>
  <si>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</si>
  <si>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</si>
  <si>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</si>
  <si>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</si>
  <si>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</si>
  <si>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This is a genuine strength. APS 220 transposes BCBS d350 Principle 5 into binding Australian form in near-identical language, requiring ADIs to have sound policies and processes to appropriately validate expected credit loss models, and APG 220 directs ADIs to have regard to the Basel guidance. The residual gap is that the obligation to validate exists without a model risk framework defining what validation consists of, who performs it and what follows a finding — and that APRA's own observations record continuing reliance on sizeable judgement-based adjustments that are not consistently well governed.</t>
  </si>
  <si>
    <t xml:space="preserve">Connect the existing APS 220 validation obligation to the model risk framework rather than restating it, govern overlays and scenario assumptions as model risk, and publish the review focus areas so entities know what an APRA-required review under the special purpose engagement provisions of the Audit and Related Matters standards, or under APS 220, would examine.</t>
  </si>
  <si>
    <t xml:space="preserve">Policy + Credit Risk</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</si>
  <si>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</si>
  <si>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</si>
  <si>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</si>
  <si>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XXXX to sit alongside them, with the specific capital requirement governing approval, change and conditions of use.</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</si>
  <si>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</si>
  <si>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</si>
  <si>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</si>
  <si>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</si>
  <si>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</si>
  <si>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</si>
  <si>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</si>
  <si>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</si>
  <si>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</si>
  <si>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</si>
  <si>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</si>
  <si>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</si>
  <si>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XXXX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</si>
  <si>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</si>
  <si>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</si>
  <si>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</si>
  <si>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</si>
  <si>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</si>
  <si>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</si>
  <si>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</si>
  <si>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</si>
  <si>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</si>
  <si>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</si>
  <si>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</si>
  <si>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</si>
  <si>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</si>
  <si>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Principle 1.1(a) sets out a definition firms should adopt as the basis for the scope of their framework, and expects consideration of quantitative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</si>
  <si>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</si>
  <si>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</si>
  <si>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</si>
  <si>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</si>
  <si>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</si>
  <si>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</si>
  <si>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</si>
  <si>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</si>
  <si>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</si>
  <si>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</si>
  <si>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</si>
  <si>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</si>
  <si>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</si>
  <si>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</si>
  <si>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</si>
  <si>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</si>
  <si>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</si>
  <si>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</si>
  <si>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</si>
  <si>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</si>
  <si>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</si>
  <si>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</si>
  <si>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</si>
  <si>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</si>
  <si>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</si>
  <si>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</si>
  <si>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</si>
  <si>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</si>
  <si>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</si>
  <si>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</si>
  <si>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</si>
  <si>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</si>
  <si>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De minimis and scope relief</t>
  </si>
  <si>
    <t xml:space="preserve">No mechanism; model requirements apply only where a capital or actuarial standard reaches them.</t>
  </si>
  <si>
    <t xml:space="preserve">Models deemed immaterial may attract only identification and monitoring of the conditions under which their use could become material; the guidance also applies mainly above a $30bn entity threshold.</t>
  </si>
  <si>
    <t xml:space="preserve">Tiering determines control intensity; no separate de minimis category.</t>
  </si>
  <si>
    <t xml:space="preserve">Principle 2.3 scales scope, scale and intensity to model risk, but Principle 2.1 keeps all models within identification.</t>
  </si>
  <si>
    <t xml:space="preserve">Materiality assessment within the internal model framework; no de minimis category.</t>
  </si>
  <si>
    <t xml:space="preserve">Proportionality by use-case materiality.</t>
  </si>
  <si>
    <t xml:space="preserve">Express de minimis determination at model level, confined to identification, inventory, ownership, classification and reassessment, with prohibited classes, an aggregate test and an anti-disaggregation limb.</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</si>
  <si>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</si>
  <si>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</si>
  <si>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</si>
  <si>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</si>
  <si>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</si>
  <si>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</si>
  <si>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</si>
  <si>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</si>
  <si>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</si>
  <si>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</si>
  <si>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</si>
  <si>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</si>
  <si>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</si>
  <si>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</si>
  <si>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</si>
  <si>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</si>
  <si>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</si>
  <si>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</si>
  <si>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</si>
  <si>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</si>
  <si>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</si>
  <si>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</si>
  <si>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</si>
  <si>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</si>
  <si>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</si>
  <si>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</si>
  <si>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</si>
  <si>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</si>
  <si>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</si>
  <si>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</si>
  <si>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</si>
  <si>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</si>
  <si>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</si>
  <si>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</si>
  <si>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</si>
  <si>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</si>
  <si>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</si>
  <si>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</si>
  <si>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</si>
  <si>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</si>
  <si>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</si>
  <si>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</si>
  <si>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</si>
  <si>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</si>
  <si>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</si>
  <si>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</si>
  <si>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</si>
  <si>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</si>
  <si>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</si>
  <si>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</si>
  <si>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</si>
  <si>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</si>
  <si>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</si>
  <si>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</si>
  <si>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</si>
  <si>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</si>
  <si>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</si>
  <si>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</si>
  <si>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</si>
  <si>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</si>
  <si>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</si>
  <si>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</si>
  <si>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</si>
  <si>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</si>
  <si>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</si>
  <si>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</si>
  <si>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</si>
  <si>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</si>
  <si>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</si>
  <si>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</si>
  <si>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</si>
  <si>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</si>
  <si>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</si>
  <si>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</si>
  <si>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</si>
  <si>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</si>
  <si>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</si>
  <si>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</si>
  <si>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</si>
  <si>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</si>
  <si>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</si>
  <si>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</si>
  <si>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</si>
  <si>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</si>
  <si>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</si>
  <si>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</si>
  <si>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</si>
  <si>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</si>
  <si>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</si>
  <si>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</si>
  <si>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</si>
  <si>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Credit risk chapter, general topics 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</si>
  <si>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</si>
  <si>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</si>
  <si>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</si>
  <si>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</si>
  <si>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</si>
  <si>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</si>
  <si>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</si>
  <si>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</si>
  <si>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</si>
  <si>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</si>
  <si>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</si>
  <si>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</si>
  <si>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</si>
  <si>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</si>
  <si>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</si>
  <si>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</si>
  <si>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</si>
  <si>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</si>
  <si>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</si>
  <si>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</si>
  <si>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</si>
  <si>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</si>
  <si>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</si>
  <si>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</si>
  <si>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</si>
  <si>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</si>
  <si>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</si>
  <si>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</si>
  <si>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</si>
  <si>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</si>
  <si>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</si>
  <si>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</si>
  <si>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</si>
  <si>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</si>
  <si>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</si>
  <si>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</si>
  <si>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</si>
  <si>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</si>
  <si>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</si>
  <si>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</si>
  <si>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</si>
  <si>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</si>
  <si>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</si>
  <si>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</si>
  <si>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</si>
  <si>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</si>
  <si>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</si>
  <si>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</si>
  <si>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</si>
  <si>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</si>
  <si>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</si>
  <si>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</si>
  <si>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</si>
  <si>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</si>
  <si>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</si>
  <si>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</si>
  <si>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</si>
  <si>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APS 220 requires sound policies and processes to appropriately validate ECL models, sound measurement methodologies, adequate aggregate provisions and experienced credit judgement. APG 220 directs ADIs to have regard to the Basel guidance. APRA's October 2023 letter sets out observed practice.</t>
  </si>
  <si>
    <t xml:space="preserve">Not addressed as a distinct model class in the model risk guidance; ECL sits in the accounting and credit supervision streams.</t>
  </si>
  <si>
    <t xml:space="preserve">Covered where an ECL model falls within the firm's model definition; no dedicated ECL provision in SS1/23.</t>
  </si>
  <si>
    <t xml:space="preserve">Covered by the general model definition; no dedicated ECL principle.</t>
  </si>
  <si>
    <t xml:space="preserve">IFRS 9 ECL models fall within the internal models and credit risk supervisory frameworks; no dedicated chapter in the internal models guide.</t>
  </si>
  <si>
    <t xml:space="preserve">Not addressed as a distinct model class.</t>
  </si>
  <si>
    <t xml:space="preserve">Dedicated guidance: eleven principles on credit risk and accounting for expected credit losses, including Principle 5 on ECL model validation and Principles 9 to 11 on supervisory evaluation.</t>
  </si>
  <si>
    <t xml:space="preserve">Express requirement that ECL and provisioning models are within the model risk framework, with judgement-based adjustments, overlays, assumptions and scenarios governed with the same discipline as the models, and a set of review focus areas in Annex G.</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</si>
  <si>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</si>
  <si>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</si>
  <si>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</si>
  <si>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2.1 board responsibilities, covering understanding and reporting of model risk in aggregate.</t>
  </si>
  <si>
    <t xml:space="preserve">Outcome 1 requires model risk to be understood across the enterprise.</t>
  </si>
  <si>
    <t xml:space="preserve">Model risk considered in supervisory review.</t>
  </si>
  <si>
    <t xml:space="preserve">Prudent valuation guidance (CAP50) and the Pillar 3 prudent valuation template may bear on aggregate model risk adjustment and disclosure; not confirmed from primary text at the as-of date.</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</si>
  <si>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</si>
  <si>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</si>
  <si>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</si>
  <si>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</si>
  <si>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</si>
  <si>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</si>
  <si>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</si>
  <si>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</si>
  <si>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</si>
  <si>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</si>
  <si>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</si>
  <si>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</si>
  <si>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</si>
  <si>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</si>
  <si>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</si>
  <si>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</si>
  <si>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</si>
  <si>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</si>
  <si>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</si>
  <si>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</si>
  <si>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</si>
  <si>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</si>
  <si>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</si>
  <si>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</si>
  <si>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</si>
  <si>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</si>
  <si>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</si>
  <si>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</si>
  <si>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</si>
  <si>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</si>
  <si>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</si>
  <si>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</si>
  <si>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</si>
  <si>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</si>
  <si>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</si>
  <si>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</si>
  <si>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</si>
  <si>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</si>
  <si>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</si>
  <si>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</si>
  <si>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</si>
  <si>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</si>
  <si>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</si>
  <si>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</si>
  <si>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</si>
  <si>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</si>
  <si>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</si>
  <si>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</si>
  <si>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</si>
  <si>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</si>
  <si>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</si>
  <si>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</si>
  <si>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</si>
  <si>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</si>
  <si>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</si>
  <si>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</si>
  <si>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</si>
  <si>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</si>
  <si>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</si>
  <si>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</si>
  <si>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</si>
  <si>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</si>
  <si>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</si>
  <si>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</si>
  <si>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</si>
  <si>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</si>
  <si>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</si>
  <si>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</si>
  <si>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</si>
  <si>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</si>
  <si>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</si>
  <si>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</si>
  <si>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</si>
  <si>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</si>
  <si>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</si>
  <si>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</si>
  <si>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</si>
  <si>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</si>
  <si>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</si>
  <si>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</si>
  <si>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</si>
  <si>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</si>
  <si>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</si>
  <si>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</si>
  <si>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</si>
  <si>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</si>
  <si>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</si>
  <si>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</si>
  <si>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</si>
  <si>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</si>
  <si>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</si>
  <si>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</si>
  <si>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</si>
  <si>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</si>
  <si>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</si>
  <si>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</si>
  <si>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</si>
  <si>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</si>
  <si>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</si>
  <si>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</si>
  <si>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</si>
  <si>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</si>
  <si>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</si>
  <si>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</si>
  <si>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</si>
  <si>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</si>
  <si>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</si>
  <si>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</si>
  <si>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</si>
  <si>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</si>
  <si>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</si>
  <si>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</si>
  <si>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</si>
  <si>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</si>
  <si>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</si>
  <si>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</si>
  <si>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</si>
  <si>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</si>
  <si>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</si>
  <si>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</si>
  <si>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</si>
  <si>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</si>
  <si>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</si>
  <si>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</si>
  <si>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</si>
  <si>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</si>
  <si>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</si>
  <si>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</si>
  <si>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</si>
  <si>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</si>
  <si>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</si>
  <si>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</si>
  <si>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</si>
  <si>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BIS-classified Guidelines, not a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</si>
  <si>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</si>
  <si>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</si>
  <si>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</si>
  <si>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</si>
  <si>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</si>
  <si>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</si>
  <si>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</si>
  <si>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</si>
  <si>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</si>
  <si>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</si>
  <si>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</si>
  <si>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</si>
  <si>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</si>
  <si>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</si>
  <si>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</si>
  <si>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</si>
  <si>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</si>
  <si>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</si>
  <si>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</si>
  <si>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</si>
  <si>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</si>
  <si>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</si>
  <si>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</si>
  <si>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</si>
  <si>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FSB-SP-2026</t>
  </si>
  <si>
    <t xml:space="preserve">Sound Practices for Responsible Adoption of Artificial Intelligence — consultation report</t>
  </si>
  <si>
    <t xml:space="preserve">10 June 2026</t>
  </si>
  <si>
    <t xml:space="preserve">Consultation report. The FSB states expressly that the sound practices are not intended to establish an international standard. Not binding anywhere.</t>
  </si>
  <si>
    <t xml:space="preserve">Financial institutions of all types, applied proportionately.</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</si>
  <si>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</si>
  <si>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</si>
  <si>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</si>
  <si>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</si>
  <si>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</si>
  <si>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</si>
  <si>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</si>
  <si>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</si>
  <si>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</si>
  <si>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BCBS-ECL-2015</t>
  </si>
  <si>
    <t xml:space="preserve">Guidance on credit risk and accounting for expected credit losses (BCBS d350)</t>
  </si>
  <si>
    <t xml:space="preserve">18 December 2015</t>
  </si>
  <si>
    <t xml:space="preserve">BIS-classified Guidelines. Supervisory guidance intended not to contradict applicable accounting standards. Domestic effect depends on implementation; in Australia APG 220 directs ADIs to have regard to it.</t>
  </si>
  <si>
    <t xml:space="preserve">Banks and banking supervisors. Written around IFRS 9-type expected credit loss accounting frameworks.</t>
  </si>
  <si>
    <t xml:space="preserve">BCBS-CR-NL-2023</t>
  </si>
  <si>
    <t xml:space="preserve">Newsletter on credit risk issues (bcbs_nl32)</t>
  </si>
  <si>
    <t xml:space="preserve">4 July 2023</t>
  </si>
  <si>
    <t xml:space="preserve">Supervisory newsletter. Not a standard and not binding.</t>
  </si>
  <si>
    <t xml:space="preserve">APRA-APS220</t>
  </si>
  <si>
    <t xml:space="preserve">APRA</t>
  </si>
  <si>
    <t xml:space="preserve">Prudential Standard APS 220 Credit Risk Management</t>
  </si>
  <si>
    <t xml:space="preserve">Current at the as-of date</t>
  </si>
  <si>
    <t xml:space="preserve">Commenced 1 January 2023</t>
  </si>
  <si>
    <t xml:space="preserve">Binding prudential standard.</t>
  </si>
  <si>
    <t xml:space="preserve">Authorised deposit-taking institutions.</t>
  </si>
  <si>
    <t xml:space="preserve">APRA-APS310</t>
  </si>
  <si>
    <t xml:space="preserve">Prudential Standard APS 310 Audit and Related Matters</t>
  </si>
  <si>
    <t xml:space="preserve">APRA-GPS310</t>
  </si>
  <si>
    <t xml:space="preserve">Prudential Standard GPS 310 Audit and Related Matters</t>
  </si>
  <si>
    <t xml:space="preserve">Commenced 1 October 2024</t>
  </si>
  <si>
    <t xml:space="preserve">General insurers and Level 2 insurance groups.</t>
  </si>
  <si>
    <t xml:space="preserve">APRA-LPS310</t>
  </si>
  <si>
    <t xml:space="preserve">Prudential Standard LPS 310 Audit and Related Matters</t>
  </si>
  <si>
    <t xml:space="preserve">Commenced 18 December 2023</t>
  </si>
  <si>
    <t xml:space="preserve">Life companies, including friendly societies.</t>
  </si>
  <si>
    <t xml:space="preserve">APRA-HPS310</t>
  </si>
  <si>
    <t xml:space="preserve">Prudential Standard HPS 310 Audit and Related Matters</t>
  </si>
  <si>
    <t xml:space="preserve">Commenced 1 July 2023</t>
  </si>
  <si>
    <t xml:space="preserve">Private health insurers.</t>
  </si>
  <si>
    <t xml:space="preserve">APRA-SPS310</t>
  </si>
  <si>
    <t xml:space="preserve">Prudential Standard SPS 310 Audit and Related Matters</t>
  </si>
  <si>
    <t xml:space="preserve">Commenced 30 June 2024</t>
  </si>
  <si>
    <t xml:space="preserve">RSE licensees.</t>
  </si>
  <si>
    <t xml:space="preserve">APRA-APG220</t>
  </si>
  <si>
    <t xml:space="preserve">Prudential Practice Guide APG 220 Credit Risk Management</t>
  </si>
  <si>
    <t xml:space="preserve">Prudential practice guide. Non-enforceable guidance.</t>
  </si>
  <si>
    <t xml:space="preserve">ADIs implementing APS 220.</t>
  </si>
  <si>
    <t xml:space="preserve">APRA-PROV-2023</t>
  </si>
  <si>
    <t xml:space="preserve">Letter — Credit risk provisioning practices for locally incorporated authorised deposit-taking institutions</t>
  </si>
  <si>
    <t xml:space="preserve">19 October 2023</t>
  </si>
  <si>
    <t xml:space="preserve">Letter to industry. Supervisory observations and expectations; not a prudential standard.</t>
  </si>
  <si>
    <t xml:space="preserve">Locally incorporated ADIs.</t>
  </si>
  <si>
    <t xml:space="preserve">AASB-9</t>
  </si>
  <si>
    <t xml:space="preserve">AASB</t>
  </si>
  <si>
    <t xml:space="preserve">AASB 9 Financial Instruments</t>
  </si>
  <si>
    <t xml:space="preserve">Australian Accounting Standard. Binding for financial reporting purposes under the Corporations Act; not a prudential instrument.</t>
  </si>
  <si>
    <t xml:space="preserve">Entities preparing financial statements under Australian Accounting Standards.</t>
  </si>
  <si>
    <t xml:space="preserve">APRA-CPG110</t>
  </si>
  <si>
    <t xml:space="preserve">Prudential Practice Guide CPG 110 Internal Capital Adequacy Assessment Process and Supervisory Review</t>
  </si>
  <si>
    <t xml:space="preserve">APRA-regulated entities conducting an ICAAP.</t>
  </si>
  <si>
    <t xml:space="preserve">APRA-CPS001</t>
  </si>
  <si>
    <t xml:space="preserve">Prudential Standard CPS 001 Defined terms</t>
  </si>
  <si>
    <t xml:space="preserve">In force at the as-of date</t>
  </si>
  <si>
    <t xml:space="preserve">APRA-regulated entities, as the source of cross-industry defined terms.</t>
  </si>
  <si>
    <t xml:space="preserve">APRA-CPS220</t>
  </si>
  <si>
    <t xml:space="preserve">Prudential Standard CPS 220 Risk Management</t>
  </si>
  <si>
    <t xml:space="preserve">July 2019 text</t>
  </si>
  <si>
    <t xml:space="preserve">Commenced 1 July 2019</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</si>
  <si>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</si>
  <si>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</si>
  <si>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</si>
  <si>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</si>
  <si>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January 2023 text</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</si>
  <si>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</si>
  <si>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</si>
  <si>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</si>
  <si>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</si>
  <si>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</si>
  <si>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</si>
  <si>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</si>
  <si>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</si>
  <si>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APRA-regulated entities as defined in CPS 234.</t>
  </si>
  <si>
    <t xml:space="preserve">APRA-CPG235</t>
  </si>
  <si>
    <t xml:space="preserve">Prudential Practice Guide CPG 235 Managing Data Risk</t>
  </si>
  <si>
    <t xml:space="preserve">September 2013</t>
  </si>
  <si>
    <t xml:space="preserve">APRA-regulated entities.</t>
  </si>
  <si>
    <t xml:space="preserve">APRA-APS113</t>
  </si>
  <si>
    <t xml:space="preserve">Prudential Standard APS 113 Capital Adequacy: Internal Ratings-based Approach to Credit Risk</t>
  </si>
  <si>
    <t xml:space="preserve">Final released 4 June 2026</t>
  </si>
  <si>
    <t xml:space="preserve">Commenced 30 June 2026</t>
  </si>
  <si>
    <t xml:space="preserve">ADIs approved by APRA to use the internal ratings-based approach.</t>
  </si>
  <si>
    <t xml:space="preserve">APRA-CPS320</t>
  </si>
  <si>
    <t xml:space="preserve">Prudential Standard CPS 320 Actuarial and Related Matters</t>
  </si>
  <si>
    <t xml:space="preserve">Determination made 29 April 2026</t>
  </si>
  <si>
    <t xml:space="preserve">Commenced 1 July 2026</t>
  </si>
  <si>
    <t xml:space="preserve">Insurers as defined in the standard.</t>
  </si>
  <si>
    <t xml:space="preserve">APRA-SPS530</t>
  </si>
  <si>
    <t xml:space="preserve">Prudential Standard SPS 530 Investment Governance</t>
  </si>
  <si>
    <t xml:space="preserve">APRA-HPS110</t>
  </si>
  <si>
    <t xml:space="preserve">Prudential Standard HPS 110 Capital Adequacy (private health insurance)</t>
  </si>
  <si>
    <t xml:space="preserve">APRA-SPS114</t>
  </si>
  <si>
    <t xml:space="preserve">Prudential Standard SPS 114 Operational Risk Financial Requirement</t>
  </si>
  <si>
    <t xml:space="preserve">APRA-SPS515</t>
  </si>
  <si>
    <t xml:space="preserve">Prudential Standard SPS 515 Strategic Planning and Member Outcomes</t>
  </si>
  <si>
    <t xml:space="preserve">Draft CPS XXXX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</si>
  <si>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</si>
  <si>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</si>
  <si>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</si>
  <si>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</si>
  <si>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</si>
  <si>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</si>
  <si>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</si>
  <si>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</si>
  <si>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</si>
  <si>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</si>
  <si>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</si>
  <si>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XXXX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</si>
  <si>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</si>
  <si>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</si>
  <si>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</si>
  <si>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</si>
  <si>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</si>
  <si>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</si>
  <si>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</si>
  <si>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</si>
  <si>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</si>
  <si>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</si>
  <si>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</si>
  <si>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</si>
  <si>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</si>
  <si>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</si>
  <si>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</si>
  <si>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</si>
  <si>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</si>
  <si>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</si>
  <si>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 being tools whose output is fully determined by their inputs and documented rules, without estimation, statistical inference or an embedded assumption about an uncertain quantity, and whose output does not determine a regulatory figure, a reported valuation or an amount attributable to a customer or beneficiary —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</si>
  <si>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</si>
  <si>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</si>
  <si>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</si>
  <si>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</si>
  <si>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</si>
  <si>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</si>
  <si>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must be able to demonstrate that the intensity of controls applied to each model reflects its model risk tier and that models of equivalent tier are treated consistently, and must document, time-bound, approve at an authority commensurate with the risk and periodically review any departure from its own model risk policies and standards.</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</si>
  <si>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</si>
  <si>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</si>
  <si>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</si>
  <si>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28–29</t>
  </si>
  <si>
    <t xml:space="preserve">M05</t>
  </si>
  <si>
    <t xml:space="preserve">De minimis models</t>
  </si>
  <si>
    <t xml:space="preserve">An APRA-regulated entity may determine that a model is de minimis, and apply to that model only the identification, inventory, ownership, classification and reassessment requirements of this Prudential Standard, where the entity has assessed and documented that an error in, or misuse of, the model could not have a material effect on its financial position, its regulatory obligations, its critical operations, or amounts or entitlements attributable to its customers or beneficiaries. The entity must record the determination and the reasoning for it, approve it at an authority commensurate with the risk, assess whether models individually determined to be de minimis are material in aggregate, and reassess each determination on the occurrence of a trigger event and at a frequency set out in its model risk policy.</t>
  </si>
  <si>
    <t xml:space="preserve">OSFI-E23, PRA-SS1-23, US-MRM-2026, APRA-CPS220</t>
  </si>
  <si>
    <t xml:space="preserve">Each comparator relieves low-consequence models of the full lifecycle while keeping them within identification. The 2026 US guidance states that where models are deemed immaterial, model risk management may consist of identifying those models and monitoring the conditions under which their use may become material. OSFI reaches the same result through Principles 2.1 and 2.3. The aggregate test, the prohibited classes and the anti-disaggregation limb are drafting choices that close the obvious routes to misuse of the exception.</t>
  </si>
  <si>
    <t xml:space="preserve">Yes</t>
  </si>
  <si>
    <t xml:space="preserve">OSFI E-23 (2027) Principle 2.3 (scope, scale and intensity commensurate with model risk) read with Principle 2.1 (identify and track all models); PRA SS1/23 Principle 1.3 Model tiering; US interagency guidance 2026 §III (models deemed immaterial)</t>
  </si>
  <si>
    <t xml:space="preserve">22–27</t>
  </si>
  <si>
    <t xml:space="preserve">M06</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</si>
  <si>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</si>
  <si>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</si>
  <si>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</si>
  <si>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</si>
  <si>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</si>
  <si>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32–33, 35</t>
  </si>
  <si>
    <t xml:space="preserve">M07</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</si>
  <si>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</si>
  <si>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</si>
  <si>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</si>
  <si>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PRA SS1/23 Principle 2 (senior management function accountability); OSFI E-23 accountability</t>
  </si>
  <si>
    <t xml:space="preserve">36–37</t>
  </si>
  <si>
    <t xml:space="preserve">M08</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</si>
  <si>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</si>
  <si>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 Where development, validation, approval or monitoring is performed by another member of the entity's group or by a related body corporate, the entity must satisfy itself that the work meets the requirements of this Prudential Standard and must retain the ability to direct, challenge and obtain evidence of it.</t>
  </si>
  <si>
    <t xml:space="preserve">US-MRM-2026, OSFI-E23, PRA-SS1-23, ECB-GIM</t>
  </si>
  <si>
    <t xml:space="preserve">Role definition with named model owners is explicit in the US, Canadian and ECB material.</t>
  </si>
  <si>
    <t xml:space="preserve">US interagency guidance 2026 §VI (roles and responsibilities); OSFI E-23 (2027) §A.4, defining Model Owner, Model Developer, Model Reviewer, Model Approver, Model User and Model Stakeholder; ECB guide §5</t>
  </si>
  <si>
    <t xml:space="preserve">38–39</t>
  </si>
  <si>
    <t xml:space="preserve">M09</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</si>
  <si>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</si>
  <si>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</si>
  <si>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</si>
  <si>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</si>
  <si>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</si>
  <si>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</si>
  <si>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40–42</t>
  </si>
  <si>
    <t xml:space="preserve">M10</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</si>
  <si>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</si>
  <si>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</si>
  <si>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</si>
  <si>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</si>
  <si>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</si>
  <si>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</si>
  <si>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</si>
  <si>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43–44</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</si>
  <si>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</si>
  <si>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</si>
  <si>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</si>
  <si>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</si>
  <si>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</si>
  <si>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45–47</t>
  </si>
  <si>
    <t xml:space="preserve">M12</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</si>
  <si>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</si>
  <si>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</si>
  <si>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</si>
  <si>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</si>
  <si>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48–49</t>
  </si>
  <si>
    <t xml:space="preserve">M13</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</si>
  <si>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</si>
  <si>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</si>
  <si>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</si>
  <si>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</si>
  <si>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</si>
  <si>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2.1 (board responsibilities, including reporting on model risk); OSFI E-23 (2027) Outcome 1; BCBS 239 risk reporting practices</t>
  </si>
  <si>
    <t xml:space="preserve">33–34, 87</t>
  </si>
  <si>
    <t xml:space="preserve">Part D — Identification, inventory and tiering</t>
  </si>
  <si>
    <t xml:space="preserve">7. Inventory</t>
  </si>
  <si>
    <t xml:space="preserve">Model identification and enterprise inventory</t>
  </si>
  <si>
    <t xml:space="preserve">An APRA-regulated entity must maintain an enterprise-wide inventory of its models and must maintain processes designed to ensure that the inventory is complete, accurate and current, including models supplied by third parties, models embedded in acquired systems, models under development and models that have been retired but whose outputs remain in use, recording at least the fields set out in Annex B.</t>
  </si>
  <si>
    <t xml:space="preserve">PRA-SS1-23, US-MRM-2026, OSFI-E23, ECB-GIM, MAS-AIMRM-2024</t>
  </si>
  <si>
    <t xml:space="preserve">A comprehensive inventory is a named principle for the PRA (1.2) and OSFI (2.1). The 2026 US guidance describes it as common industry practice rather than an expectation, which is one reason to state it as a requirement here.</t>
  </si>
  <si>
    <t xml:space="preserve">PRA SS1/23 Principle 1; US interagency guidance 2026 §VI inventory; OSFI E-23 model inventory</t>
  </si>
  <si>
    <t xml:space="preserve">24, 50–54</t>
  </si>
  <si>
    <t xml:space="preserve">M15</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</si>
  <si>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</si>
  <si>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</si>
  <si>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</si>
  <si>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</si>
  <si>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</si>
  <si>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</si>
  <si>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</si>
  <si>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M16</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</si>
  <si>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</si>
  <si>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</si>
  <si>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</si>
  <si>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</si>
  <si>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</si>
  <si>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27, 30–31</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</si>
  <si>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</si>
  <si>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</si>
  <si>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</si>
  <si>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</si>
  <si>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</si>
  <si>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</si>
  <si>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</si>
  <si>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55–58</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</si>
  <si>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</si>
  <si>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</si>
  <si>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</si>
  <si>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</si>
  <si>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</si>
  <si>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59–62</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</si>
  <si>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</si>
  <si>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</si>
  <si>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</si>
  <si>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</si>
  <si>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Documentation obligations are explicit for the PRA (3.5) and binding under CRR Article 188 as interpreted by the ECB guide. The 2026 US guidance reduced its treatment to a permissive statement, so the reconstruction standard is stated here rather than inherited.</t>
  </si>
  <si>
    <t xml:space="preserve">US interagency guidance 2026 §VI documentation; PRA SS1/23 Principle 3; ECB documentation requirements</t>
  </si>
  <si>
    <t xml:space="preserve">63–64</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</si>
  <si>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</si>
  <si>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</si>
  <si>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</si>
  <si>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</si>
  <si>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</si>
  <si>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65–67</t>
  </si>
  <si>
    <t xml:space="preserve">M21</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</si>
  <si>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</si>
  <si>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 Where an urgent business need requires a model to be used before independent validation is complete, the entity must approve that use at an authority commensurate with the model's tier, apply compensating controls, inform users of the limitation and complete the validation within a defined period.</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</si>
  <si>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</si>
  <si>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</si>
  <si>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</si>
  <si>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75</t>
  </si>
  <si>
    <t xml:space="preserve">M22</t>
  </si>
  <si>
    <t xml:space="preserve">Scope of validation</t>
  </si>
  <si>
    <t xml:space="preserve">Validation of a model must address conceptual soundness, outcomes analysis comparing model outputs with corresponding actual outcomes to the extent those outcomes are observable and sufficient for the purpose, and ongoing model monitoring, and must reach an explicit conclusion on the model's fitness for its intended use together with any conditions or limitations. Where outcomes are not observable, the entity must apply alternative evidence of performance, including benchmarking, sensitivity analysis and assessment of assumptions.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</si>
  <si>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</si>
  <si>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</si>
  <si>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68–71</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</si>
  <si>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</si>
  <si>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</si>
  <si>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</si>
  <si>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72–74</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</si>
  <si>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</si>
  <si>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</si>
  <si>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</si>
  <si>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</si>
  <si>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</si>
  <si>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76–78</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</si>
  <si>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</si>
  <si>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</si>
  <si>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</si>
  <si>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ECB-GIM, OSFI-E23</t>
  </si>
  <si>
    <t xml:space="preserve">Implementation control is explicit in the ECB internal models framework and in OSFI E-23 Principle 3.5. The 2026 US guidance does not carry forward the 2011 implementation section, so no current US support is claimed.</t>
  </si>
  <si>
    <t xml:space="preserve">ECB guide §10 and credit risk chapter (implementation of a changed or extended model); OSFI E-23 (2027) Principle 3.5; the rescinded 2011 US guidance §IV, not carried forward in 2026</t>
  </si>
  <si>
    <t xml:space="preserve">70, 79–80</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</si>
  <si>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</si>
  <si>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</si>
  <si>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</si>
  <si>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</si>
  <si>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</si>
  <si>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81–82, 105</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</si>
  <si>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</si>
  <si>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</si>
  <si>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</si>
  <si>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</si>
  <si>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</si>
  <si>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83–84</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</si>
  <si>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</si>
  <si>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</si>
  <si>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</si>
  <si>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</si>
  <si>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85–87, 123–125</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</si>
  <si>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</si>
  <si>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</si>
  <si>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</si>
  <si>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</si>
  <si>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</si>
  <si>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88–90</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</si>
  <si>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</si>
  <si>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 On identifying a material model error or failure, the entity must determine its cause, assess whether the same weakness affects other models, and assess and address the effect on decisions, figures, balances and amounts attributable to customers or beneficiaries that the model has already produced.</t>
  </si>
  <si>
    <t xml:space="preserve">Model risk mitigants including restrictions, adjustments and remediation are the subject of a named PRA principle.</t>
  </si>
  <si>
    <t xml:space="preserve">PRA SS1/23 Principle 5 (model risk mitigants); OSFI E-23 issue management</t>
  </si>
  <si>
    <t xml:space="preserve">78, 91–92</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</si>
  <si>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</si>
  <si>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</si>
  <si>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 Where a model in the entity's highest risk tier is material to a decision or figure, the entity must identify and periodically assess the alternative basis on which that decision or figure would be determined if the model were unavailable.</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</si>
  <si>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</si>
  <si>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</si>
  <si>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</si>
  <si>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93–94</t>
  </si>
  <si>
    <t xml:space="preserve">M32</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</si>
  <si>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</si>
  <si>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</si>
  <si>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</si>
  <si>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Where the entity cannot itself discharge an obligation in this Prudential Standard in relation to a third-party model, it must obtain equivalent assurance from the provider or implement compensating controls, and must record which obligations are met in that way.</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</si>
  <si>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</si>
  <si>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</si>
  <si>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</si>
  <si>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75, 95–97</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</si>
  <si>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</si>
  <si>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in its own reliance on models, data sources, platforms and providers, including where that reliance is shared with other entities. Where an arrangement is already on foot at the commencement of this Prudential Standard, this paragraph applies from the earlier of the next renewal or material variation of that arrangement and the end of the transition period determined by APRA.</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</si>
  <si>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</si>
  <si>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</si>
  <si>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</si>
  <si>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98–100</t>
  </si>
  <si>
    <t xml:space="preserve">M34</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</si>
  <si>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</si>
  <si>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</si>
  <si>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systematic differences in model performance across segments of the population to which the model is applied,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</si>
  <si>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</si>
  <si>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</si>
  <si>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</si>
  <si>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62, 101–106</t>
  </si>
  <si>
    <t xml:space="preserve">M35</t>
  </si>
  <si>
    <t xml:space="preserve">Boundary with the AI risk management framework</t>
  </si>
  <si>
    <t xml:space="preserve">An APRA-regulated entity must apply this Prudential Standard to any artificial intelligence system that meets the definition of a model, must apply its artificial intelligence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</si>
  <si>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</si>
  <si>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</si>
  <si>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</si>
  <si>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</si>
  <si>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107–109</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</si>
  <si>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</si>
  <si>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</si>
  <si>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</si>
  <si>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prudential standard requires that approval, and must ensure the model is used in the entity's internal risk management to the extent the applicable prudential standard so requires.</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</si>
  <si>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</si>
  <si>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</si>
  <si>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110–111</t>
  </si>
  <si>
    <t xml:space="preserve">23. Valuation and financial reporting models</t>
  </si>
  <si>
    <t xml:space="preserve">An APRA-regulated entity must apply this Prudential Standard to models used to value assets and liabilities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</si>
  <si>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</si>
  <si>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</si>
  <si>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</si>
  <si>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112–113</t>
  </si>
  <si>
    <t xml:space="preserve">23A. Expected credit loss and provisioning models</t>
  </si>
  <si>
    <t xml:space="preserve">An APRA-regulated entity must apply this Prudential Standard to models used to assess and measure expected credit losses and to determine provisions, and must govern the judgement-based adjustments, overlays and post-model adjustments applied to modelled expected credit losses, and the assumptions and scenarios on which those models depend, with the same discipline as the models themselves.</t>
  </si>
  <si>
    <t xml:space="preserve">APRA-APS220, APRA-APG220, BCBS-ECL-2015, APRA-PROV-2023, AASB-9</t>
  </si>
  <si>
    <t xml:space="preserve">APS 220 transposes BCBS d350 Principle 5 into binding Australian form in near-identical language, and APG 220 expressly directs ADIs to have regard to the Basel guidance. The obligation to validate expected credit loss models therefore already exists; what is missing is the model risk framework that gives it content. This paragraph connects the two.</t>
  </si>
  <si>
    <t xml:space="preserve">BCBS d350 Principle 5 (ECL model validation), read with Principles 2, 4, 6 and 7; APS 220, Credit risk and accounting for expected credit losses; APG 220, which directs ADIs to have regard to the Basel guidance</t>
  </si>
  <si>
    <t xml:space="preserve">120–131</t>
  </si>
  <si>
    <t xml:space="preserve">24. Actuarial and insurance models</t>
  </si>
  <si>
    <t xml:space="preserve">Actuarial, reserving and insurance liability models</t>
  </si>
  <si>
    <t xml:space="preserve">An APRA-regulated insurer, including a private health insurer, must apply this Prudential Standard to models used to determine insurance liabilities, including deferred claims liabilities and, for a private health insurer, amounts arising under the risk equalisation arrangements, and to models used to determine premiums, reinsurance recoveries and capital, and must ensure that the role of the Appointed Actuary and this Prudential Standard's validation requirements operate together without gaps in independent review. Independent review performed under CPS 320 and the sectoral actuarial standards may satisfy the independent validation requirement for an actuarial model to the extent the reviewer was not responsible for developing the model or setting its assumptions, and the insurer must identify and separately address any element not so covered.</t>
  </si>
  <si>
    <t xml:space="preserve">APRA-CPS320, APRA-HPS110,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</si>
  <si>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</si>
  <si>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</si>
  <si>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114–115</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</si>
  <si>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</si>
  <si>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</si>
  <si>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</si>
  <si>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</si>
  <si>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</si>
  <si>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</si>
  <si>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</si>
  <si>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116–117</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</si>
  <si>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</si>
  <si>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</si>
  <si>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</si>
  <si>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</si>
  <si>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</si>
  <si>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</si>
  <si>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118–119, 126–127</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</si>
  <si>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</si>
  <si>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</si>
  <si>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</si>
  <si>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adequacy assessment or, for an RSE licensee, in the assessment of operational risk that informs the operational risk financial requirement target amount determined under SPS 114, and must be able to explain the basis and limitations of the assessment.</t>
  </si>
  <si>
    <t xml:space="preserve">PRA-SS1-23, ECB-GIM, US-MRM-2026, APRA-CPS220, APRA-SPS114</t>
  </si>
  <si>
    <t xml:space="preserve">The 2026 US guidance expressly calls for model risk to be assessed individually and in aggregate, reflecting interactions, dependencies and reliance on common assumptions, data or methodologies. The PRA addresses board understanding of aggregate model risk; the ECB addresses it through supervisory review.</t>
  </si>
  <si>
    <t xml:space="preserve">PRA SS1/23 Principle 2.1 (board understanding and reporting of model risk in aggregate); ECB model risk in the supervisory review process</t>
  </si>
  <si>
    <t xml:space="preserve">47, 135–137</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</si>
  <si>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</si>
  <si>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</si>
  <si>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</si>
  <si>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</si>
  <si>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</si>
  <si>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138–139</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</si>
  <si>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</si>
  <si>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</si>
  <si>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</si>
  <si>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</si>
  <si>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</si>
  <si>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74, 140–141</t>
  </si>
  <si>
    <t xml:space="preserve">30. APRA engagement</t>
  </si>
  <si>
    <t xml:space="preserve">Notification and provision of information to APRA</t>
  </si>
  <si>
    <t xml:space="preserve">An APRA-regulated entity must notify APRA as soon as practicable, and within the timeframe applicable under CPS 230 or CPS 234 where the event also falls within those standards, of a model failure or model risk event that has, or is likely to have, a material impact on its financial position, on amounts credited to or debited from the accounts of its customers or beneficiaries, on its regulatory reporting or on its ability to meet its prudential obligations, and must provide APRA with information relating to its models and model risk management where APRA requires it in writing. Where APRA requires an entity, under another prudential standard, to appoint an auditor or independent party to review and report to APRA on a matter that includes its models or its model risk management, the entity must support that review and must provide the reviewer with access to the models, data, documentation, systems and personnel reasonably required for the matters APRA has specified.</t>
  </si>
  <si>
    <t xml:space="preserve">APRA-CPS230, APRA-CPS234, APRA-CPS220, APRA-APS220, APRA-APS310, APRA-GPS310, APRA-LPS310, APRA-HPS310, APRA-SPS310,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</si>
  <si>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</si>
  <si>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</si>
  <si>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</si>
  <si>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130–134, 142–143</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</si>
  <si>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</si>
  <si>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</si>
  <si>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</si>
  <si>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</si>
  <si>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</si>
  <si>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</si>
  <si>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</si>
  <si>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</si>
  <si>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</si>
  <si>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</si>
  <si>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XXXX does not follow.</t>
  </si>
  <si>
    <t xml:space="preserve">PRA-SS1-23, OSFI-E23  |  OCC/Fed: Expressly excludes such tools from the model definition and states no control obligation for them.</t>
  </si>
  <si>
    <t xml:space="preserve">Pass as policy proposal — consult and cost-benefit test</t>
  </si>
  <si>
    <t xml:space="preserve">Conditional pass — legal drafting required</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</si>
  <si>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</si>
  <si>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</si>
  <si>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</si>
  <si>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</si>
  <si>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</si>
  <si>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</si>
  <si>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</si>
  <si>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</si>
  <si>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</si>
  <si>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APRA-SPS114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</si>
  <si>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</si>
  <si>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</si>
  <si>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XXXX paragraph</t>
  </si>
  <si>
    <t xml:space="preserve">Chapter</t>
  </si>
  <si>
    <t xml:space="preserve">Guidance text</t>
  </si>
  <si>
    <t xml:space="preserve">Supports CPS XXXX</t>
  </si>
  <si>
    <t xml:space="preserve">Source attribution</t>
  </si>
  <si>
    <t xml:space="preserve">Verification note</t>
  </si>
  <si>
    <t xml:space="preserve">Introduction</t>
  </si>
  <si>
    <t xml:space="preserve">This guide is structured to follow CPS XXXX.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</si>
  <si>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</si>
  <si>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XXXX.</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</si>
  <si>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</si>
  <si>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</si>
  <si>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XXXX, and does not limit APRA's discretion in supervising an entity. Where this guide and CPS XXXX appear to differ, CPS XXXX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</si>
  <si>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</si>
  <si>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</si>
  <si>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</si>
  <si>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</si>
  <si>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</si>
  <si>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</si>
  <si>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</si>
  <si>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</si>
  <si>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XXXX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</si>
  <si>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</si>
  <si>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is a model where the classification rests on an estimate of an uncertain quantity — a score, a probability or a predicted class. A tool that reaches a categorical output by applying documented rules to its inputs, with no such estimate, falls outside the definition and is dealt with under M03.</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</si>
  <si>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</si>
  <si>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</si>
  <si>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</si>
  <si>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</si>
  <si>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</si>
  <si>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</si>
  <si>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M32</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</si>
  <si>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</si>
  <si>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</si>
  <si>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</si>
  <si>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M15</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</si>
  <si>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</si>
  <si>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</si>
  <si>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</si>
  <si>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</si>
  <si>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</si>
  <si>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CPS XXXX permits an entity to determine that a model is de minimis and to apply to it only the identification, inventory, ownership, classification and reassessment requirements. The determination turns on consequence: whether the entity could be materially wrong, or materially unfair to a customer or beneficiary, if the model were wrong and the error went undetected.</t>
  </si>
  <si>
    <t xml:space="preserve">It is not a determination about size, complexity, cost or how long a model has been in use. A simple model that has run without incident for a decade is not de minimis if an error in it would misstate a provision. Conversely a sophisticated model used to prioritise internal workflow may well be.</t>
  </si>
  <si>
    <t xml:space="preserve">Source: US interagency guidance 2026 §III, which states that where models are deemed immaterial, model risk management may consist of identifying those models and monitoring the conditions under which their use may become material [SE]. OSFI Guideline E-23 (2027) Principle 2.3, read with Principle 2.1 [SE]. PRA SS1/23 Principle 1.3 Model tiering [SE].</t>
  </si>
  <si>
    <t xml:space="preserve">A de minimis model stays in the inventory. That is the point on which the exception depends: an entity that has removed a model from the inventory cannot demonstrate that the determination was ever made, still less that it remains correct. Entities should treat the de minimis population as a reportable category rather than as an absence.</t>
  </si>
  <si>
    <t xml:space="preserve">M05, M14</t>
  </si>
  <si>
    <t xml:space="preserve">Certain models cannot be de minimis whatever the entity's assessment. These are models determining a regulatory capital requirement, a provision, a technical or insurance liability, a valuation reported in the financial statements, a unit price or another amount attributable to a customer or beneficiary, and models supporting a critical operation. The consequence of error in these classes is realised directly and is frequently irreversible.</t>
  </si>
  <si>
    <t xml:space="preserve">Two failure modes deserve specific attention. The first is aggregation: models that are individually immaterial can matter collectively, particularly where they feed the same process, share a data source or rest on a common assumption. The entity should examine the population, not only the individual determinations. The second is disaggregation: splitting a model so that each component falls below the threshold, which defeats the exception rather than satisfying it.</t>
  </si>
  <si>
    <t xml:space="preserve">A determination attaches to a use, not to a model in the abstract. Where a model that was de minimis for one purpose begins to be relied on for another, the determination should be revisited before the new use begins rather than at the next scheduled review.</t>
  </si>
  <si>
    <t xml:space="preserve">M05, M16</t>
  </si>
  <si>
    <t xml:space="preserve">Verification: the de minimis mechanism is drawn from the treatment of immaterial models in the 2026 United States interagency guidance and from OSFI Principles 2.1 and 2.3, which relieve low-risk models of the full lifecycle while keeping them within identification. The prohibited classes, the aggregate test and the anti-disaggregation limb are Australian drafting choices and are identified as a policy design choice in the assessment workbook.</t>
  </si>
  <si>
    <t xml:space="preserve">Reduced controls should be a decision rather than an omission. An exception should identify the provision of the entity's own policies or standards not being met, the reason, the compensating control, the approver, the expiry date and the review point. It cannot except the entity from a requirement of CPS XXXX: only APRA may do that, under paragraph A5.</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</si>
  <si>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</si>
  <si>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</si>
  <si>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</si>
  <si>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</si>
  <si>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</si>
  <si>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</si>
  <si>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</si>
  <si>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</si>
  <si>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</si>
  <si>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</si>
  <si>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</si>
  <si>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</si>
  <si>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</si>
  <si>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XXXX.</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</si>
  <si>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</si>
  <si>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</si>
  <si>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</si>
  <si>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a standing independent validation function is not practicable, independence can still be achieved — by drawing on qualified people elsewhere in the entity or group who were not involved in development, by engaging an external provider, or by escalating the review to a forum that is independent of the sponsoring business.</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</si>
  <si>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</si>
  <si>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</si>
  <si>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</si>
  <si>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</si>
  <si>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</si>
  <si>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</si>
  <si>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</si>
  <si>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</si>
  <si>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</si>
  <si>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</si>
  <si>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M11, M42</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</si>
  <si>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</si>
  <si>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</si>
  <si>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</si>
  <si>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</si>
  <si>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</si>
  <si>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XXXX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</si>
  <si>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</si>
  <si>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</si>
  <si>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</si>
  <si>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</si>
  <si>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XXXX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</si>
  <si>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</si>
  <si>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</si>
  <si>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</si>
  <si>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</si>
  <si>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</si>
  <si>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</si>
  <si>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</si>
  <si>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</si>
  <si>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[G].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</si>
  <si>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</si>
  <si>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</si>
  <si>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</si>
  <si>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M18, M34</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</si>
  <si>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</si>
  <si>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</si>
  <si>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</si>
  <si>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</si>
  <si>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</si>
  <si>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</si>
  <si>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</si>
  <si>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</si>
  <si>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</si>
  <si>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</si>
  <si>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</si>
  <si>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</si>
  <si>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M22, M25</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</si>
  <si>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</si>
  <si>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components of validation are extracted from the current US interagency guidance, which is supervisory guidance rather than a regulation and is non-enforceable by its own terms. No fixed validation frequency is stated in this guide: the rescinded 2011 US guidance contained an at-least-annual periodic review expectation which the April 2026 guidance does not carry forward, and OCC Bulletin 2025-26 confirms that community banks are not required to validate annually. Setting cycle lengths is left to the entity, by tier.</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</si>
  <si>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</si>
  <si>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</si>
  <si>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</si>
  <si>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</si>
  <si>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M23, M44</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</si>
  <si>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</si>
  <si>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M21, M32</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</si>
  <si>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</si>
  <si>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</si>
  <si>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</si>
  <si>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</si>
  <si>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M24, M30</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</si>
  <si>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</si>
  <si>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</si>
  <si>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</si>
  <si>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</si>
  <si>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</si>
  <si>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</si>
  <si>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</si>
  <si>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</si>
  <si>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</si>
  <si>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</si>
  <si>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</si>
  <si>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</si>
  <si>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</si>
  <si>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</si>
  <si>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M28, M13</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</si>
  <si>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</si>
  <si>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</si>
  <si>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</si>
  <si>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</si>
  <si>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</si>
  <si>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</si>
  <si>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</si>
  <si>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</si>
  <si>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</si>
  <si>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</si>
  <si>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</si>
  <si>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</si>
  <si>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</si>
  <si>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</si>
  <si>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</si>
  <si>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</si>
  <si>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</si>
  <si>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</si>
  <si>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[G].</t>
  </si>
  <si>
    <t xml:space="preserve">CPS XXXX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</si>
  <si>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</si>
  <si>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[G].</t>
  </si>
  <si>
    <t xml:space="preserve">Artificial intelligence and machine learning models</t>
  </si>
  <si>
    <t xml:space="preserve">An artificial intelligence or machine learning model is a model. Every requirement of CPS XXXX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</si>
  <si>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</si>
  <si>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systematic differences in model performance across segments of the population to which the model is applied,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</si>
  <si>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</si>
  <si>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</si>
  <si>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</si>
  <si>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</si>
  <si>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M34, M26</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</si>
  <si>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</si>
  <si>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XXXX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</si>
  <si>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</si>
  <si>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</si>
  <si>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XXXX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</si>
  <si>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</si>
  <si>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XXXX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</si>
  <si>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</si>
  <si>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</si>
  <si>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</si>
  <si>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[G].</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</si>
  <si>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</si>
  <si>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</si>
  <si>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XXXX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</si>
  <si>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</si>
  <si>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</si>
  <si>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</si>
  <si>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</si>
  <si>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</si>
  <si>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[G].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</si>
  <si>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</si>
  <si>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Expected credit loss models occupy a distinctive position. For most models the output informs a decision that a person then makes; for an expected credit loss model the output is the provision itself. An error is realised immediately in the financial statements, in regulatory capital and in the reported credit quality of the portfolio, and it is realised at the level of the aggregate rather than one exposure at a time.</t>
  </si>
  <si>
    <t xml:space="preserve">The Australian obligation already exists and is binding. APS 220 requires an ADI to have sound policies and processes in place to appropriately validate models used to assess and measure expected credit losses, to adopt sound methodologies for assessing and measuring credit losses, to hold aggregate provisions that are adequate and consistent with the objectives of Australian Accounting Standards, and to use experienced credit judgement in the robust consideration of reasonable and supportable forward-looking information.</t>
  </si>
  <si>
    <t xml:space="preserve">Source: APS 220, Credit risk and accounting for expected credit losses [B]. APG 220, which states that the Basel Committee's Guidance on credit risk and accounting for expected credit losses of 18 December 2015 sets out guidance on sound credit risk practices and that APRA expects ADIs to have regard to it [G]. BCBS d350 [G].</t>
  </si>
  <si>
    <t xml:space="preserve">Verification: the APS 220 obligation to validate expected credit loss models is a near-verbatim transposition of BCBS d350 Principle 5, which reads 'A bank should have policies and procedures in place to appropriately validate models used to assess and measure expected credit losses.' Both texts were read in the primary instruments. This is one of the few domains in which the Australian framework already carries an international model risk principle in binding form.</t>
  </si>
  <si>
    <t xml:space="preserve">What APS 220 does not supply is the content of that validation — what it consists of, who may perform it, how often, and what follows when it finds something. CPS XXXX supplies exactly that. The two are complementary and cumulative: APS 220 states the obligation, this Prudential Standard states the discipline, and an ADI complies with both. Neither reads down the other, so where this Prudential Standard requires more of a model than APS 220 does, the higher obligation is the one to meet. The formal interaction between the two instruments is a matter for settlement on consultation and is recorded in Annex F.</t>
  </si>
  <si>
    <t xml:space="preserve">APRA has observed that many ADIs continue to apply sizeable judgement-based adjustments to compensate for model and data limitations. Adjustments have a legitimate role: models alone may not be calibrated to capture every driver of credit risk, particularly where conditions have moved outside the estimation window. But an overlay is a statement that the model is wrong, and it should be governed as such.</t>
  </si>
  <si>
    <t xml:space="preserve">M38, M28</t>
  </si>
  <si>
    <t xml:space="preserve">Source: APRA, Credit risk provisioning practices for locally incorporated authorised deposit-taking institutions, 19 October 2023 [G]. BCBS Newsletter on credit risk issues, 4 July 2023 [A].</t>
  </si>
  <si>
    <t xml:space="preserve">Where judgemental adjustments are made, APRA expects them to be supported by documented analysis and robust controls and governance, including sound processes for their application, controls over the efficacy of the output, and senior management oversight and accountabilities. An entity should also be able to show that it is monitoring and improving model performance rather than allowing overlays to become a permanent substitute for recalibration.</t>
  </si>
  <si>
    <t xml:space="preserve">The practical test is direction and persistence. An overlay applied in the same direction across successive reporting periods is evidence that the model no longer reflects the exposure. A reviewer would expect to see either a redevelopment plan or a reasoned explanation of why the condition being corrected is genuinely temporary.</t>
  </si>
  <si>
    <t xml:space="preserve">Sensitivity analysis is how an entity demonstrates that it understands what its provision depends on. APRA expects comprehensive sensitivity analysis to be performed on a regular and timely basis across credit portfolios, segmented by industry, geography and other relevant dimensions, so that management and the Board can see how provisions respond to changes in the key underlying drivers of credit risk.</t>
  </si>
  <si>
    <t xml:space="preserve">M38, M41</t>
  </si>
  <si>
    <t xml:space="preserve">This analysis can form part of the entity's broader stress testing capability and inform the internal capital adequacy assessment process and risk appetite review. The same governance expectations apply to it as to the models: clear accountabilities, robust controls and oversight over both the process and the decisions taken from it.</t>
  </si>
  <si>
    <t xml:space="preserve">Source: APRA provisioning letter, 19 October 2023 [G]. CPG 110 Internal Capital Adequacy Assessment Process and Supervisory Review [G].</t>
  </si>
  <si>
    <t xml:space="preserve">APRA has observed that many ADIs continue to rely on manually intensive and judgement-driven processes to capture the effect of emerging risks on vulnerable borrowers and sectors, and has encouraged investment in systematic processes that identify vulnerable sectors and factor sectoral risk into loss estimates.</t>
  </si>
  <si>
    <t xml:space="preserve">Three things carry most of the weight here: the use of collective assessments, the level of segmentation in the models and the data behind them, and the indicators used to transfer exposures in vulnerable sectors into Stage 2 under AASB 9. The staging decision is a modelled judgement with a direct and often large effect on the reported provision, and it should be validated with that in mind.</t>
  </si>
  <si>
    <t xml:space="preserve">Annex G of CPS XXXX sets out the focus areas APRA would expect a review of expected credit loss models to cover. They are drawn from APRA's own published observations on provisioning practice, from the requirements of APS 220, and from the Basel guidance that APG 220 directs ADIs to have regard to.</t>
  </si>
  <si>
    <t xml:space="preserve">M38, M45</t>
  </si>
  <si>
    <t xml:space="preserve">The focus areas are not a checklist to be completed. A review that confirms each item exists without forming a view on whether the provision is right will not have answered the question. The purpose of each area is to test whether the number the entity has reported is supportable.</t>
  </si>
  <si>
    <t xml:space="preserve">A special purpose engagement power exists in every industry to which CPS XXXX applies. The Audit and Related Matters standards — APS 310 for ADIs, GPS 310, LPS 310 and HPS 310 for insurers and SPS 310 for RSE licensees — each allow APRA to require a report on a particular aspect of the entity's operations, risk management and financial position or affairs, in each case at the entity's expense. Risk management includes the management of model risk, so these are the provisions on which a review of an entity's models would ordinarily rest.</t>
  </si>
  <si>
    <t xml:space="preserve">Source: APS 310, GPS 310, LPS 310, HPS 310 and SPS 310, Audit and Related Matters, special purpose engagement provisions [B]. APS 220, Special purpose engagements [B]. The APS 220 provision is reproduced in Annex G of CPS XXXX as it appears under that heading in the rendering used for verification.</t>
  </si>
  <si>
    <t xml:space="preserve">For an ADI there is a second and narrower basis. APS 220 provides that APRA may require an ADI to appoint an independent party to review and report on all or a particular aspect of its credit risk management, including provisioning practices. APRA may, however, request such a report without prior consultation with the ADI, may set the terms of the review, and the review is at the ADI's expense. Because that provision is confined to credit risk management, the focus areas in Annex G that reach the model risk framework at large, third-party arrangements or regulatory reporting rest on APS 310 rather than on APS 220. Entities should expect that APRA may require a review under either, and that the terms would be set by APRA rather than negotiated.</t>
  </si>
  <si>
    <t xml:space="preserve">An entity that maintains its expected credit loss models in accordance with this Prudential Standard should be able to support such an engagement from existing records rather than by assembling evidence in response to it. Where an entity could not, that is itself informative about the state of its model risk management.</t>
  </si>
  <si>
    <t xml:space="preserve">Verification: the special purpose engagement provisions of APS 310, GPS 310, LPS 310, HPS 310 and SPS 310 were each read from the primary instrument on 25 July 2026, as was the Special purpose engagements provision of APS 220. Paragraph numbers are not asserted because the published renderings do not carry them; each provision is cited by its section heading. An earlier draft stated that no such power reached insurers or RSE licensees. That was wrong, was corrected on examination of the Audit and Related Matters standards, and is recorded in the red-team audit trail.</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</si>
  <si>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</si>
  <si>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</si>
  <si>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2.1 Board of directors' responsibilities, which covers understanding and reporting of model risk both individually and in aggregate [SE]. US interagency guidance 2026 §III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</si>
  <si>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</si>
  <si>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</si>
  <si>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</si>
  <si>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</si>
  <si>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</si>
  <si>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</si>
  <si>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</si>
  <si>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</si>
  <si>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XXXX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</si>
  <si>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</si>
  <si>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</si>
  <si>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XXXX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</si>
  <si>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</si>
  <si>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</si>
  <si>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</si>
  <si>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</si>
  <si>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</si>
  <si>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</si>
  <si>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</si>
  <si>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</si>
  <si>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</si>
  <si>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</si>
  <si>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</si>
  <si>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</si>
  <si>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</si>
  <si>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</si>
  <si>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</si>
  <si>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</si>
  <si>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</si>
  <si>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</si>
  <si>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</si>
  <si>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</si>
  <si>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</si>
  <si>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</si>
  <si>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</si>
  <si>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</si>
  <si>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</si>
  <si>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</si>
  <si>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</si>
  <si>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</si>
  <si>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</si>
  <si>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</si>
  <si>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</si>
  <si>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</si>
  <si>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</si>
  <si>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</si>
  <si>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</si>
  <si>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</si>
  <si>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</si>
  <si>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</si>
  <si>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</si>
  <si>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</si>
  <si>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</si>
  <si>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</si>
  <si>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</si>
  <si>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</si>
  <si>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</si>
  <si>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</si>
  <si>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</si>
  <si>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</si>
  <si>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</si>
  <si>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</si>
  <si>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</si>
  <si>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</si>
  <si>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</si>
  <si>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</si>
  <si>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</si>
  <si>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</si>
  <si>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</si>
  <si>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</si>
  <si>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</si>
  <si>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</si>
  <si>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</si>
  <si>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</si>
  <si>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</si>
  <si>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</si>
  <si>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</si>
  <si>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</si>
  <si>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</si>
  <si>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</si>
  <si>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</si>
  <si>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</si>
  <si>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</si>
  <si>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</si>
  <si>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</si>
  <si>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</si>
  <si>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</si>
  <si>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</si>
  <si>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</si>
  <si>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</si>
  <si>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</si>
  <si>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</si>
  <si>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</si>
  <si>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</si>
  <si>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</si>
  <si>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</si>
  <si>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</si>
  <si>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</si>
  <si>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</si>
  <si>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</si>
  <si>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</si>
  <si>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</si>
  <si>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</si>
  <si>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</si>
  <si>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</si>
  <si>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</si>
  <si>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</si>
  <si>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</si>
  <si>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</si>
  <si>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</si>
  <si>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</si>
  <si>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</si>
  <si>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</si>
  <si>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</si>
  <si>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</si>
  <si>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</si>
  <si>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</si>
  <si>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</si>
  <si>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</si>
  <si>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</si>
  <si>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</si>
  <si>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</si>
  <si>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</si>
  <si>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</si>
  <si>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</si>
  <si>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</si>
  <si>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</si>
  <si>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</si>
  <si>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</si>
  <si>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</si>
  <si>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</si>
  <si>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</si>
  <si>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</si>
  <si>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</si>
  <si>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</si>
  <si>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</si>
  <si>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</si>
  <si>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</si>
  <si>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</si>
  <si>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</si>
  <si>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</si>
  <si>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</si>
  <si>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</si>
  <si>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</si>
  <si>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</si>
  <si>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</si>
  <si>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</si>
  <si>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</si>
  <si>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</si>
  <si>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</si>
  <si>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</si>
  <si>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</si>
  <si>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</si>
  <si>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</si>
  <si>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</si>
  <si>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</si>
  <si>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</si>
  <si>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</si>
  <si>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</si>
  <si>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</si>
  <si>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</si>
  <si>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</si>
  <si>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</si>
  <si>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</si>
  <si>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</si>
  <si>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</si>
  <si>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</si>
  <si>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</si>
  <si>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</si>
  <si>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</si>
  <si>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</si>
  <si>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</si>
  <si>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</si>
  <si>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</si>
  <si>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</si>
  <si>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</si>
  <si>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Guidance on credit risk and accounting for expected credit losses (d350, 18 December 2015)</t>
  </si>
  <si>
    <t xml:space="preserve">A bank's board of directors (or equivalent) and senior management are responsible for ensuring that the bank has appropriate credit risk practices, including an effective system of internal control, to consistently determine adequate allowances in accordance with the bank's stated policies and procedures, the applicable accounting framework and relevant supervisory guidance.</t>
  </si>
  <si>
    <t xml:space="preserve">A bank should adopt, document and adhere to sound methodologies that address policies, procedures and controls for assessing and measuring credit risk on all lending exposures. The measurement of allowances should build upon those robust methodologies and result in the appropriate and timely recognition of expected credit losses in accordance with the applicable accounting framework.</t>
  </si>
  <si>
    <t xml:space="preserve">A bank should have a credit risk rating process in place to appropriately group lending exposures on the basis of shared credit risk characteristics.</t>
  </si>
  <si>
    <t xml:space="preserve">A bank's aggregate amount of allowances, regardless of whether allowance components are determined on a collective or an individual basis, should be adequate and consistent with the objectives of the applicable accounting framework.</t>
  </si>
  <si>
    <t xml:space="preserve">A bank should have policies and procedures in place to appropriately validate models used to assess and measure expected credit losses.</t>
  </si>
  <si>
    <t xml:space="preserve">A bank's use of experienced credit judgment, especially in the robust consideration of reasonable and supportable forward-looking information, including macroeconomic factors, is essential to the assessment and measurement of expected credit losses.</t>
  </si>
  <si>
    <t xml:space="preserve">A bank should have a sound credit risk assessment and measurement process that provides it with a strong basis for common systems, tools and data to assess credit risk and to account for expected credit losses.</t>
  </si>
  <si>
    <t xml:space="preserve">A bank's public disclosures should promote transparency and comparability by providing timely, relevant and decision-useful information.</t>
  </si>
  <si>
    <t xml:space="preserve">Banking supervisors should periodically evaluate the effectiveness of a bank's credit risk practices.</t>
  </si>
  <si>
    <t xml:space="preserve">Banking supervisors should be satisfied that the methods employed by a bank to determine accounting allowances lead to an appropriate measurement of expected credit losses in accordance with the applicable accounting framework.</t>
  </si>
  <si>
    <t xml:space="preserve">Banking supervisors should consider a bank's credit risk practices when assessing a bank's capital adequacy.</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</si>
  <si>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</si>
  <si>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</si>
  <si>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</si>
  <si>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</si>
  <si>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</si>
  <si>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</si>
  <si>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</si>
  <si>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</si>
  <si>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</si>
  <si>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</si>
  <si>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</si>
  <si>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</si>
  <si>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</si>
  <si>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</si>
  <si>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</si>
  <si>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</si>
  <si>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</si>
  <si>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</si>
  <si>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</si>
  <si>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</si>
  <si>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</si>
  <si>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</si>
  <si>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</si>
  <si>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</si>
  <si>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</si>
  <si>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</si>
  <si>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</si>
  <si>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</si>
  <si>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</si>
  <si>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</si>
  <si>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</si>
  <si>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</si>
  <si>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</si>
  <si>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</si>
  <si>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</si>
  <si>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</si>
  <si>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</si>
  <si>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</si>
  <si>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</si>
  <si>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</si>
  <si>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</si>
  <si>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</si>
  <si>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</si>
  <si>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</si>
  <si>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</si>
  <si>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</si>
  <si>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</si>
  <si>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</si>
  <si>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</si>
  <si>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</si>
  <si>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</si>
  <si>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</si>
  <si>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</si>
  <si>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</si>
  <si>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</si>
  <si>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</si>
  <si>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</si>
  <si>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</si>
  <si>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</si>
  <si>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</si>
  <si>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</si>
  <si>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</si>
  <si>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</si>
  <si>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</si>
  <si>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</si>
  <si>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</si>
  <si>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</si>
  <si>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</si>
  <si>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</si>
  <si>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</si>
  <si>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</si>
  <si>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</si>
  <si>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</si>
  <si>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</si>
  <si>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</si>
  <si>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</si>
  <si>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</si>
  <si>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</si>
  <si>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</si>
  <si>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</si>
  <si>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</si>
  <si>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</si>
  <si>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</si>
  <si>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</si>
  <si>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</si>
  <si>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</si>
  <si>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</si>
  <si>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</si>
  <si>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</si>
  <si>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</si>
  <si>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</si>
  <si>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</si>
  <si>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</si>
  <si>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</si>
  <si>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</si>
  <si>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</si>
  <si>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</si>
  <si>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</si>
  <si>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</si>
  <si>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</si>
  <si>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</si>
  <si>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</si>
  <si>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</si>
  <si>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</si>
  <si>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</si>
  <si>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</si>
  <si>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</si>
  <si>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</si>
  <si>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</si>
  <si>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</si>
  <si>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</si>
  <si>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</si>
  <si>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</si>
  <si>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</si>
  <si>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</si>
  <si>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</si>
  <si>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</si>
  <si>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</si>
  <si>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</si>
  <si>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</si>
  <si>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</si>
  <si>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</si>
  <si>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</si>
  <si>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</si>
  <si>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</si>
  <si>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</si>
  <si>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</si>
  <si>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</si>
  <si>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</si>
  <si>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</si>
  <si>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</si>
  <si>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</si>
  <si>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</si>
  <si>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</si>
  <si>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XXXX / CPG XXXX</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</si>
  <si>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</si>
  <si>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</si>
  <si>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</si>
  <si>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</si>
  <si>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</si>
  <si>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</si>
  <si>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</si>
  <si>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</si>
  <si>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</si>
  <si>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</si>
  <si>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</si>
  <si>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XXXX M02</t>
  </si>
  <si>
    <t xml:space="preserve">US model definition</t>
  </si>
  <si>
    <t xml:space="preserve">The current US definition is narrower than the definition adopted in CPS XXXX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</si>
  <si>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</si>
  <si>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</si>
  <si>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</si>
  <si>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XXXX M23 / CPG XXXX</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</si>
  <si>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</si>
  <si>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</si>
  <si>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</si>
  <si>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</si>
  <si>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XXXX M22 / CPG XXXX</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</si>
  <si>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</si>
  <si>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</si>
  <si>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</si>
  <si>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</si>
  <si>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</si>
  <si>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</si>
  <si>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</si>
  <si>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</si>
  <si>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</si>
  <si>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</si>
  <si>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</si>
  <si>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</si>
  <si>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</si>
  <si>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</si>
  <si>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</si>
  <si>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</si>
  <si>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</si>
  <si>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</si>
  <si>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</si>
  <si>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</si>
  <si>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</si>
  <si>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</si>
  <si>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</si>
  <si>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XXXX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</si>
  <si>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</si>
  <si>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</si>
  <si>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</si>
  <si>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</si>
  <si>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</si>
  <si>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</si>
  <si>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</si>
  <si>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</si>
  <si>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</si>
  <si>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</si>
  <si>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</si>
  <si>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</si>
  <si>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</si>
  <si>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XXXX M40 / CPG XXXX</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</si>
  <si>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</si>
  <si>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</si>
  <si>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</si>
  <si>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</si>
  <si>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</si>
  <si>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XXXX M45 / CPG XXXX</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</si>
  <si>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</si>
  <si>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</si>
  <si>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</si>
  <si>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</si>
  <si>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</si>
  <si>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XXXX</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</si>
  <si>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</si>
  <si>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</si>
  <si>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</si>
  <si>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</si>
  <si>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ST-18</t>
  </si>
  <si>
    <t xml:space="preserve">CPS XXXX M05 / CPG XXXX</t>
  </si>
  <si>
    <t xml:space="preserve">De minimis exception</t>
  </si>
  <si>
    <t xml:space="preserve">A model of no material consequence attracts only identification, inventory, ownership, classification and reassessment.</t>
  </si>
  <si>
    <t xml:space="preserve">US interagency guidance 2026 §III states that where models are deemed immaterial, model risk management may consist of identifying those models and monitoring the conditions under which their use may become material. OSFI E-23 Principle 2.3 scales scope, scale and intensity to model risk while Principle 2.1 keeps all models within identification.</t>
  </si>
  <si>
    <t xml:space="preserve">The prohibited classes, the aggregate test and the anti-disaggregation limb are Australian drafting choices, not comparator requirements, and are labelled as a policy choice. See RT-50.</t>
  </si>
  <si>
    <t xml:space="preserve">ST-17</t>
  </si>
  <si>
    <t xml:space="preserve">Workbook / crosswalk</t>
  </si>
  <si>
    <t xml:space="preserve">BCBS and aggregate model risk</t>
  </si>
  <si>
    <t xml:space="preserve">The crosswalk originally recorded the BCBS position on aggregate model risk as 'not addressed'. Adversarial review suggested the Basel Framework's prudent valuation guidance (CAP50) and the Pillar 3 prudent valuation template may require a model risk valuation adjustment and its disclosure.</t>
  </si>
  <si>
    <t xml:space="preserve">Unverified</t>
  </si>
  <si>
    <t xml:space="preserve">Unverified — not independently confirmed</t>
  </si>
  <si>
    <t xml:space="preserve">The BIS Basel Framework chapter pages load their text client-side and could not be retrieved in this session; the chapter's existence and title are confirmed but its provisions were not read. Neither the original negative nor the suggested positive is asserted.</t>
  </si>
  <si>
    <t xml:space="preserve">The cell now records the lead and its unverified status instead of asserting a negative. See RT-49. This should be resolved from the primary chapter before consultation.</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</si>
  <si>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</si>
  <si>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</si>
  <si>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</si>
  <si>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</si>
  <si>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</si>
  <si>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</si>
  <si>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</si>
  <si>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</si>
  <si>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</si>
  <si>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</si>
  <si>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</si>
  <si>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</si>
  <si>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</si>
  <si>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</si>
  <si>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</si>
  <si>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</si>
  <si>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</si>
  <si>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</si>
  <si>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</si>
  <si>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</si>
  <si>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</si>
  <si>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</si>
  <si>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XXXX's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</si>
  <si>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</si>
  <si>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XXXX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</si>
  <si>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</si>
  <si>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</si>
  <si>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</si>
  <si>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</si>
  <si>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M23 was redrafted to the current formulation; incentives are retained in the practice guide as a practical consideration rather than presented as part of the definition.</t>
  </si>
  <si>
    <t xml:space="preserve">M23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</si>
  <si>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</si>
  <si>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</si>
  <si>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</si>
  <si>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</si>
  <si>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M22 and the guidance were realigned.</t>
  </si>
  <si>
    <t xml:space="preserve">M22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</si>
  <si>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</si>
  <si>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</si>
  <si>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</si>
  <si>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</si>
  <si>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</si>
  <si>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</si>
  <si>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</si>
  <si>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</si>
  <si>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</si>
  <si>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</si>
  <si>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</si>
  <si>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</si>
  <si>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</si>
  <si>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</si>
  <si>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</si>
  <si>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</si>
  <si>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</si>
  <si>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</si>
  <si>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</si>
  <si>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</si>
  <si>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</si>
  <si>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</si>
  <si>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</si>
  <si>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</si>
  <si>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</si>
  <si>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</si>
  <si>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</si>
  <si>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M45 now cross-references the existing architecture and expects early engagement on material model weakness instead.</t>
  </si>
  <si>
    <t xml:space="preserve">M45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</si>
  <si>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</si>
  <si>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</si>
  <si>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</si>
  <si>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</si>
  <si>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</si>
  <si>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</si>
  <si>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</si>
  <si>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</si>
  <si>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</si>
  <si>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</si>
  <si>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</si>
  <si>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</si>
  <si>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</si>
  <si>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</si>
  <si>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</si>
  <si>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</si>
  <si>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</si>
  <si>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M21 and M25;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</si>
  <si>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</si>
  <si>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</si>
  <si>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</si>
  <si>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</si>
  <si>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M32 and M33 now require sufficient information or compensating controls, expressed as an outcome.</t>
  </si>
  <si>
    <t xml:space="preserve">M32 and M33;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</si>
  <si>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</si>
  <si>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</si>
  <si>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</si>
  <si>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</si>
  <si>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</si>
  <si>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</si>
  <si>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</si>
  <si>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</si>
  <si>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</si>
  <si>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</si>
  <si>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</si>
  <si>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M36, M39,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</si>
  <si>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</si>
  <si>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</si>
  <si>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</si>
  <si>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</si>
  <si>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</si>
  <si>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M35 is therefore an Australian design choice, is labelled as one, and requires a single register recording which regime applies to each AI system so that the boundary is a documented determination.</t>
  </si>
  <si>
    <t xml:space="preserve">M35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</si>
  <si>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</si>
  <si>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</si>
  <si>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</si>
  <si>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</si>
  <si>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</si>
  <si>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</si>
  <si>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M40;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</si>
  <si>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</si>
  <si>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</si>
  <si>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</si>
  <si>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</si>
  <si>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</si>
  <si>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</si>
  <si>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</si>
  <si>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</si>
  <si>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</si>
  <si>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</si>
  <si>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</si>
  <si>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</si>
  <si>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</si>
  <si>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</si>
  <si>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</si>
  <si>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</si>
  <si>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</si>
  <si>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</si>
  <si>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</si>
  <si>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</si>
  <si>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</si>
  <si>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</si>
  <si>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</si>
  <si>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</si>
  <si>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</si>
  <si>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</si>
  <si>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</si>
  <si>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</si>
  <si>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</si>
  <si>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</si>
  <si>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</si>
  <si>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</si>
  <si>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</si>
  <si>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RT-24</t>
  </si>
  <si>
    <t xml:space="preserve">The Australian instruments the standard sits alongside were recorded as 'current at the as-of date' without commencement dates.</t>
  </si>
  <si>
    <t xml:space="preserve">Which version of each is actually in force, and has any been remade recently? The Australian baseline is what the whole assessment is measured against, so a stale version would distort every score.</t>
  </si>
  <si>
    <t xml:space="preserve">Three of the nine had been remade in 2026 and the register did not say so. APS 113 — the instrument carrying Australia's strongest existing model governance requirements — was released in final form on 4 June 2026 and commenced 30 June 2026. CPS 320 was determined on 29 April 2026 and commenced 1 July 2026. CPS 230's current determination was made on 23 April 2026 and commences 1 July 2026. Commencement dates were added for every APRA instrument, and SPS 515 is marked as not separately verified rather than asserted.</t>
  </si>
  <si>
    <t xml:space="preserve">Source register and legal status matrix; the gap assessment's Australian baseline is now anchored to identified versions rather than to 'current'.</t>
  </si>
  <si>
    <t xml:space="preserve">APRA standards pages and determinations for each instrument.</t>
  </si>
  <si>
    <t xml:space="preserve">RT-25</t>
  </si>
  <si>
    <t xml:space="preserve">CPS 320 paragraph references were taken from the instrument's structure.</t>
  </si>
  <si>
    <t xml:space="preserve">Was the in-force text actually retrieved, or is the structure inferred from a landing page?</t>
  </si>
  <si>
    <t xml:space="preserve">The 1 July 2026 in-force PDF could not be downloaded from apra.gov.au — the link is rendered client-side and the legislation register record is a JavaScript application. Title, commencement, status, instrument reference, scope and section headings were confirmed from the APRA standards page; paragraph-level references come from the July 2019 text. The register now says so, and flags that they should be re-checked against the current version.</t>
  </si>
  <si>
    <t xml:space="preserve">Source register entry for CPS 320; the paragraph anchors in the principles register carry the same caveat.</t>
  </si>
  <si>
    <t xml:space="preserve">APRA standards page for CPS 320; July 2019 primary PDF.</t>
  </si>
  <si>
    <t xml:space="preserve">Closed — limitation disclosed rather than concealed</t>
  </si>
  <si>
    <t xml:space="preserve">RT-26</t>
  </si>
  <si>
    <t xml:space="preserve">The standard opened at 'Objectives and key requirements' with no Authority, Application, Commencement or Adjustments and exclusions paragraphs.</t>
  </si>
  <si>
    <t xml:space="preserve">Every APRA prudential standard carries this front matter. Without an adjustments and exclusions paragraph there is no lawful route for APRA to vary a requirement for an individual entity, making the instrument more rigid than every standard it sits alongside. Without a transitional paragraph, requirements expressed as a bar on use would on commencement prohibit continued use of models entities already rely on.</t>
  </si>
  <si>
    <t xml:space="preserve">Paragraphs A1 to A6 were added: authority, application, commencement, transitional arrangements for models already in use, adjustments and exclusions, and interpretation. Each carries a note identifying what requires legal settlement.</t>
  </si>
  <si>
    <t xml:space="preserve">Six new mandatory paragraphs; the standard is now structurally complete as an instrument.</t>
  </si>
  <si>
    <t xml:space="preserve">CPS 230 paragraphs 1 to 11 as the structural precedent.</t>
  </si>
  <si>
    <t xml:space="preserve">RT-27</t>
  </si>
  <si>
    <t xml:space="preserve">M04 required an entity to document and approve 'any exception to or reduction of the controls otherwise required' by the standard.</t>
  </si>
  <si>
    <t xml:space="preserve">The controls otherwise required are the mandatory paragraphs. As drafted, a proportionality clause purported to let an entity except itself from the instrument's own requirements at its own approval authority.</t>
  </si>
  <si>
    <t xml:space="preserve">M04 was split in substance: it now requires the entity to demonstrate that control intensity reflects the model's tier and that equivalent models are treated consistently, and confines the exception machinery to departures from the entity's own policies and standards. The guidance states plainly that only APRA may adjust or exclude a requirement, under A5.</t>
  </si>
  <si>
    <t xml:space="preserve">M04 redrafted; its guidance rewritten; the adjustment power now sits in A5 where it belongs.</t>
  </si>
  <si>
    <t xml:space="preserve">Internal analysis of the interaction between M04 and the mandatory paragraphs.</t>
  </si>
  <si>
    <t xml:space="preserve">RT-28</t>
  </si>
  <si>
    <t xml:space="preserve">M22 required validation to address outcomes analysis comparing model outputs with corresponding actual outcomes, without qualification.</t>
  </si>
  <si>
    <t xml:space="preserve">For several model classes the standard expressly brings into scope — stress testing, scenario analysis, capital planning and forward-looking climate models — no corresponding actual outcome exists. The requirement was impossible to satisfy for them.</t>
  </si>
  <si>
    <t xml:space="preserve">M22 now requires outcomes analysis to the extent outcomes are observable and sufficient for the purpose, and requires alternative evidence of performance — benchmarking, sensitivity analysis and assessment of assumptions — where they are not.</t>
  </si>
  <si>
    <t xml:space="preserve">M22 redrafted; the validation intensity table in the guide realigned.</t>
  </si>
  <si>
    <t xml:space="preserve">M41 scope; BCBS stress testing principles 7 and 8.</t>
  </si>
  <si>
    <t xml:space="preserve">RT-29</t>
  </si>
  <si>
    <t xml:space="preserve">M21 barred use of a model for a material purpose until independent validation was complete, with no exception path.</t>
  </si>
  <si>
    <t xml:space="preserve">The current US guidance expressly contemplates use before validation on urgent business need with compensating controls. An absolute bar with no exception and no transition would on commencement prohibit continued use of every insufficiently validated model in the industry.</t>
  </si>
  <si>
    <t xml:space="preserve">M21 now permits use before validation completes where there is an urgent business need, subject to approval at an authority commensurate with tier, compensating controls, informing users of the limitation and completing validation within a defined period. Paragraph A4 provides the transition for models already in use.</t>
  </si>
  <si>
    <t xml:space="preserve">M21 redrafted; A4 added.</t>
  </si>
  <si>
    <t xml:space="preserve">US interagency guidance 2026 §V.</t>
  </si>
  <si>
    <t xml:space="preserve">RT-30</t>
  </si>
  <si>
    <t xml:space="preserve">M42 required every APRA-regulated entity to consider aggregate model risk in its internal capital assessment.</t>
  </si>
  <si>
    <t xml:space="preserve">RSE licensees have no internal capital assessment. The requirement was inapplicable to an entire regulated industry the standard purports to cover.</t>
  </si>
  <si>
    <t xml:space="preserve">M42 now refers to the internal capital adequacy assessment or, for an RSE licensee, to determining the operational risk financial requirement target amount.</t>
  </si>
  <si>
    <t xml:space="preserve">M42 redrafted sector-neutrally.</t>
  </si>
  <si>
    <t xml:space="preserve">Superannuation prudential framework; SPS 114 operational risk financial requirement.</t>
  </si>
  <si>
    <t xml:space="preserve">RT-31</t>
  </si>
  <si>
    <t xml:space="preserve">M14 required a complete, accurate and current inventory in absolute terms; M32's compensating-control escape reached only the information limb; M33 had no transition for contracts already on foot; and M39 left the Appointed Actuary conflict to the guide.</t>
  </si>
  <si>
    <t xml:space="preserve">Absolute completeness is not demonstrable and not testable. A hosted vendor model cannot be subjected to the entity's own implementation controls. Existing contracts cannot be reopened on commencement. And for most insurers the Appointed Actuary sets the assumptions, so M09 and M21 would disqualify the very review CPS 320 requires.</t>
  </si>
  <si>
    <t xml:space="preserve">M14 now requires the inventory plus processes designed to ensure completeness. M32's escape extends to any obligation the entity cannot itself discharge for a third-party model, with a record of which are met that way. M33 applies to existing arrangements from the earlier of renewal, material variation or the end of the transition period. M39 resolves the actuarial interaction in the standard: CPS 320 review satisfies independent validation to the extent the reviewer did not develop the model or set its assumptions.</t>
  </si>
  <si>
    <t xml:space="preserve">Four requirements redrafted.</t>
  </si>
  <si>
    <t xml:space="preserve">CPS 230 transitional precedent for service provider arrangements; CPS 320.</t>
  </si>
  <si>
    <t xml:space="preserve">RT-32</t>
  </si>
  <si>
    <t xml:space="preserve">The practice guide's validation intensity table prescribed 'at least annually' for the highest tier and 'every two to three years' for the second, while its own caption called the frequencies illustrative.</t>
  </si>
  <si>
    <t xml:space="preserve">A table that states an interval will be read as the expectation whatever the caption says. No comparator prescribes cross-industry validation frequencies, and the OCC has expressly confirmed that its guidance does not require annual validation.</t>
  </si>
  <si>
    <t xml:space="preserve">The frequency cells now state the drivers rather than intervals, and the caption and verification note explain why no interval is given.</t>
  </si>
  <si>
    <t xml:space="preserve">Chapter 8 of the practice guide.</t>
  </si>
  <si>
    <t xml:space="preserve">OCC Bulletin 2025-26; US interagency guidance 2026 §V; PRA SS1/23 Principle 4.5.</t>
  </si>
  <si>
    <t xml:space="preserve">RT-33</t>
  </si>
  <si>
    <t xml:space="preserve">M45 created a notification obligation with no timeframe and no threshold beyond 'material', while the guidance beneath it told entities to use CPS 230 and CPS 234 timeframes.</t>
  </si>
  <si>
    <t xml:space="preserve">The requirement and its guidance said different things, and the requirement as drafted was not testable.</t>
  </si>
  <si>
    <t xml:space="preserve">M45 now states the timing expectation on the face of the requirement and ties it to the CPS 230 and CPS 234 timeframes where the event falls within those standards, resolving the inconsistency without creating a competing deadline.</t>
  </si>
  <si>
    <t xml:space="preserve">M45 redrafted.</t>
  </si>
  <si>
    <t xml:space="preserve">CPS 230; CPS 234.</t>
  </si>
  <si>
    <t xml:space="preserve">RT-34</t>
  </si>
  <si>
    <t xml:space="preserve">M03 identified non-model quantitative tools by example only — spreadsheets, rules engines, allocation keys — with no stated criterion.</t>
  </si>
  <si>
    <t xml:space="preserve">Examples cannot draw a perimeter. A complex spreadsheet running a regression is a model; a complex spreadsheet applying documented arithmetic is not. The examples invited the wrong reading.</t>
  </si>
  <si>
    <t xml:space="preserve">M03 now states the criterion on the face of the requirement: a tool falls outside the model definition only where its output is fully determined by its inputs and documented rules, without estimation, statistical inference or an embedded assumption about an uncertain quantity.</t>
  </si>
  <si>
    <t xml:space="preserve">M03 redrafted.</t>
  </si>
  <si>
    <t xml:space="preserve">PRA SS1/23 Principle 1.1; US interagency guidance 2026 §II exclusions.</t>
  </si>
  <si>
    <t xml:space="preserve">RT-35</t>
  </si>
  <si>
    <t xml:space="preserve">Annex A defined effective challenge as competence, standing and incentives, and defined a model with a three-component sentence that M02 does not contain.</t>
  </si>
  <si>
    <t xml:space="preserve">The Annex A definitions are operative. Leaving the rescinded 2011 formulation there meant the standard defined its own central concept two different ways in two places, and the definition that would be applied is the one in the Annex.</t>
  </si>
  <si>
    <t xml:space="preserve">The Annex A definition of effective challenge now matches M23 word for word. The three-component sentence was removed from the Annex A definition of a model, so it matches M02; the description survives in the practice guide where it is explanatory.</t>
  </si>
  <si>
    <t xml:space="preserve">Annex A of the standard; the glossary sheet.</t>
  </si>
  <si>
    <t xml:space="preserve">US interagency guidance 2026 §III; M23 and M02 as drafted.</t>
  </si>
  <si>
    <t xml:space="preserve">RT-36</t>
  </si>
  <si>
    <t xml:space="preserve">Aggregate model risk and board reporting were attributed to PRA SS1/23 Principle 5 in four places.</t>
  </si>
  <si>
    <t xml:space="preserve">Principle 5 is 'Model risk mitigants' — post-model adjustments, restrictions on model use, and exceptions and escalations. It says nothing about aggregate model risk or board reporting, which sit under Principle 2.1.</t>
  </si>
  <si>
    <t xml:space="preserve">M13 and M42 now cite Principle 2.1. M42's rationale was rewritten to lead with the 2026 US guidance, which does expressly call for model risk to be assessed individually and in aggregate reflecting common assumptions, data and methodologies.</t>
  </si>
  <si>
    <t xml:space="preserve">M13 and M42 principle mappings and M42's rationale.</t>
  </si>
  <si>
    <t xml:space="preserve">PRA SS1/23 Principle 5 and Principle 2.1 primary text; US interagency guidance 2026 §III.</t>
  </si>
  <si>
    <t xml:space="preserve">RT-37</t>
  </si>
  <si>
    <t xml:space="preserve">M39 cited GPS 320 and LPS 320; M36 cited a Basel Framework identifier that the alias map silently resolved to BCBS 239.</t>
  </si>
  <si>
    <t xml:space="preserve">GPS 320 and LPS 320 were replaced by CPS 320 in 2019 and no longer exist. BCBS 239 concerns risk data aggregation and says nothing about internal model approval or the use test. The integrity check passed because it treated aliases as registered sources, so three citations appeared in the requirements register that had no entry in the source register.</t>
  </si>
  <si>
    <t xml:space="preserve">All three citations were removed and the alias map was deleted entirely. Every source ID cited by a requirement now resolves to a registered entry, so nothing can be cited that does not appear in Annex E. The integrity check was tightened to match.</t>
  </si>
  <si>
    <t xml:space="preserve">M36 and M39 sources; SOURCE_ALIASES removed; verify_package strengthened.</t>
  </si>
  <si>
    <t xml:space="preserve">APRA instrument history for GPS/LPS 320; BCBS 239 subject matter.</t>
  </si>
  <si>
    <t xml:space="preserve">RT-38</t>
  </si>
  <si>
    <t xml:space="preserve">The scoring rubric defined 5 and 4 as 'addressed in a binding instrument', while 25 of the 33 benchmarks were set by supervisory guidance that is not binding anywhere.</t>
  </si>
  <si>
    <t xml:space="preserve">The rubric contradicted its own application. Read literally, no comparator could score above 3 in most domains, which would have inverted every gap in the assessment.</t>
  </si>
  <si>
    <t xml:space="preserve">The rubric now scores the quality and specificity of the expectation irrespective of instrument type, and the enforceability dimension is stated to apply to Australia only — which is what the assessment was actually measuring.</t>
  </si>
  <si>
    <t xml:space="preserve">Scoring methodology sheet and the rubric shown in the workbook.</t>
  </si>
  <si>
    <t xml:space="preserve">Internal consistency analysis of the rubric against the benchmark assignments.</t>
  </si>
  <si>
    <t xml:space="preserve">RT-39</t>
  </si>
  <si>
    <t xml:space="preserve">The superannuation domain was scored with a benchmark of 0 because no comparator addresses superannuation model risk.</t>
  </si>
  <si>
    <t xml:space="preserve">A zero benchmark floors the gap at zero, which returned a priority of 'Low' — published as meaning 'broadly comparable to international practice'. The domain with no international coverage at all was therefore reported as the least urgent.</t>
  </si>
  <si>
    <t xml:space="preserve">The domain is now benchmarked at 5 against the standard's own cross-industry objective, with the benchmark authority recorded as 'No comparator'. It now scores 4.38 weighted and ranks High, which reflects the position.</t>
  </si>
  <si>
    <t xml:space="preserve">Gap assessment and areas for improvement ranking.</t>
  </si>
  <si>
    <t xml:space="preserve">Scope statements of each comparator; the methodology's own treatment of absent benchmarks.</t>
  </si>
  <si>
    <t xml:space="preserve">RT-40</t>
  </si>
  <si>
    <t xml:space="preserve">M09, M10 and M12 — capability and independence, the integrated framework, and policies and standards — were cited by no scoring domain.</t>
  </si>
  <si>
    <t xml:space="preserve">The framework obligation itself was unscored, so the assessment measured the parts of model risk management without measuring whether there is a framework at all.</t>
  </si>
  <si>
    <t xml:space="preserve">A 'MRM framework, policies and capability' domain was added covering all three, benchmarked against PRA Principle 2 and OSFI Principle 3.1. Every requirement is now covered by at least one domain.</t>
  </si>
  <si>
    <t xml:space="preserve">Gap assessment gains a 34th domain; the executive summary counts update automatically.</t>
  </si>
  <si>
    <t xml:space="preserve">Coverage check of scoring domains against the requirement register.</t>
  </si>
  <si>
    <t xml:space="preserve">RT-41</t>
  </si>
  <si>
    <t xml:space="preserve">Annex C directed the highest tier where a model influences 'an employment outcome', and M01 extended enterprise scope to human resources models. M34 required entities to address the 'potential for biased outcomes'.</t>
  </si>
  <si>
    <t xml:space="preserve">APRA is a prudential regulator. Employment decisions and unbounded bias obligations sit with other regulators and other legislation, and asserting them here would invite a scope objection that would distract from the prudential case.</t>
  </si>
  <si>
    <t xml:space="preserve">Employment outcomes were removed from the Annex C indicator and human resources from M01's guidance. M34's limb was recast in model-performance terms: systematic differences in model performance across segments of the population to which the model is applied.</t>
  </si>
  <si>
    <t xml:space="preserve">Annex C, M01 guidance and M34.</t>
  </si>
  <si>
    <t xml:space="preserve">Prudential remit analysis.</t>
  </si>
  <si>
    <t xml:space="preserve">RT-42</t>
  </si>
  <si>
    <t xml:space="preserve">M45 imposed a standing duty to provide APRA with information 'on request', open as to scope, form and requester. M35 required entities to apply AI risk management arrangements that nothing obliged them to have. M42's RSE limb referred to the operational risk financial requirement without citing the standard that governs it.</t>
  </si>
  <si>
    <t xml:space="preserve">An open-ended information duty with no stated legal form is not how the other cross-industry standards are drafted. M35 assumed an instrument that does not exist. M42 pointed at a determination made under an uncited standard.</t>
  </si>
  <si>
    <t xml:space="preserve">M45 now applies where APRA requires information in writing, and its notification trigger covers amounts credited to or debited from customer and beneficiary accounts. M35 gains a limb for entities with no separate AI arrangements. M42 cites SPS 114, which is now registered as a source. An interpretation clause was added requiring every APRA power under the standard to be exercised in writing.</t>
  </si>
  <si>
    <t xml:space="preserve">M35, M42, M45, the Interpretation section and the source register.</t>
  </si>
  <si>
    <t xml:space="preserve">CPS 230 drafting form for information powers; SPS 114.</t>
  </si>
  <si>
    <t xml:space="preserve">RT-43</t>
  </si>
  <si>
    <t xml:space="preserve">The FSB sound practices supplied twelve entries of the principles register, were cited in eight crosswalk cells and were the subject of a statement-ledger entry, but had no entry in the source register.</t>
  </si>
  <si>
    <t xml:space="preserve">A source relied on that heavily with no registered entry has no recorded status, date or URL, and a reader cannot check what it is or whether it binds anything.</t>
  </si>
  <si>
    <t xml:space="preserve">Registered as FSB-SP-2026 with its consultation status recorded — the FSB states expressly that the practices are not intended to establish an international standard. The integrity check now covers sources cited by the principles register and the crosswalk, not only those cited by requirements.</t>
  </si>
  <si>
    <t xml:space="preserve">Source register, legal status matrix and the integrity check.</t>
  </si>
  <si>
    <t xml:space="preserve">FSB consultation report.</t>
  </si>
  <si>
    <t xml:space="preserve">RT-44</t>
  </si>
  <si>
    <t xml:space="preserve">Five source attribution lines in the practice guide used a status code, '[B where implemented]', that appears in neither the guide's legend nor Annex D.</t>
  </si>
  <si>
    <t xml:space="preserve">A reader cannot interpret a status code that is not defined, and the code implied a degree of bindingness that BIS guidelines do not have.</t>
  </si>
  <si>
    <t xml:space="preserve">The four BCBS instruments now carry [G], with the domestic-implementation qualification carried in the prose of the attribution line. BCBS 239's register status was corrected from 'International standard' to BIS-classified Guidelines.</t>
  </si>
  <si>
    <t xml:space="preserve">Practice guide attribution lines; BCBS 239 source register entry.</t>
  </si>
  <si>
    <t xml:space="preserve">BIS publication classification for bcbs239, d450, d516 and d605.</t>
  </si>
  <si>
    <t xml:space="preserve">RT-45</t>
  </si>
  <si>
    <t xml:space="preserve">Annex B opened 'An APRA-regulated entity's model inventory must record at least the following', in the guidance style.</t>
  </si>
  <si>
    <t xml:space="preserve">The build audit forbids bold text in a guidance paragraph, so the only statement making Annex B mandatory was rendered as explanatory text. On the standard's own reading rule, Annex B imposed nothing.</t>
  </si>
  <si>
    <t xml:space="preserve">M14 now requires the inventory to record at least the fields set out in Annex B, so the obligation sits in a bold mandatory paragraph. Annex B's opening line was reworded to point back at M14.</t>
  </si>
  <si>
    <t xml:space="preserve">M14 and Annex B.</t>
  </si>
  <si>
    <t xml:space="preserve">The standard's own interpretation rule that only bold paragraphs are mandatory.</t>
  </si>
  <si>
    <t xml:space="preserve">RT-46</t>
  </si>
  <si>
    <t xml:space="preserve">Every governance obligation was expressed in terms of 'the Board'; private health insurance appeared nowhere despite being in the enabling authority; A4's transition reached only model-level obligations; and Annex A's bespoke definitions were not tied to CPS 001.</t>
  </si>
  <si>
    <t xml:space="preserve">A foreign ADI has no Australian Board, so those obligations were incapable of performance by a branch. A named industry with no coverage would not survive consultation. Entity-level obligations with no transition would all fall due on commencement. And bespoke definitions floating free of CPS 001 invite inconsistency with the rest of the framework.</t>
  </si>
  <si>
    <t xml:space="preserve">A6 now reads down 'the Board' for foreign ADIs and ties undefined terms to CPS 001. A4 was split into entity-level obligations from commencement and model-level obligations on a remediation plan. M39 now names private health insurers, deferred claims liabilities and risk equalisation, and cites HPS 110. Annex F gained items for foreign ADIs and for whether a simplified pathway for smaller entities is warranted.</t>
  </si>
  <si>
    <t xml:space="preserve">A4, A6, M39, Annex F and the source register.</t>
  </si>
  <si>
    <t xml:space="preserve">Cross-industry drafting practice in CPS 220, CPS 230 and CPS 234; the enabling authority in A1.</t>
  </si>
  <si>
    <t xml:space="preserve">RT-47</t>
  </si>
  <si>
    <t xml:space="preserve">M03's carve-out excluded any tool whose output is fully determined by its inputs and documented rules.</t>
  </si>
  <si>
    <t xml:space="preserve">A unit price calculation is fully determined by its inputs. The carve-out would therefore have excluded the very models M02 and M40 were drafted to capture — the ones whose errors transfer value between members irreversibly.</t>
  </si>
  <si>
    <t xml:space="preserve">M03's test now turns on consequence as well as method: a tool is outside the definition only where it also does not determine a regulatory figure, a reported valuation or an amount attributable to a customer or beneficiary.</t>
  </si>
  <si>
    <t xml:space="preserve">M03; resolves a direct contradiction with M02 and M40.</t>
  </si>
  <si>
    <t xml:space="preserve">Internal consistency analysis across M02, M03 and M40.</t>
  </si>
  <si>
    <t xml:space="preserve">RT-48</t>
  </si>
  <si>
    <t xml:space="preserve">No requirement addressed the outputs a failed model had already produced, and M31 conferred a power to suspend a model without requiring anything to fall back on. Group and offshore model governance was unaddressed.</t>
  </si>
  <si>
    <t xml:space="preserve">Remediating a finding is not the same as remediating its consequences: a model that mispriced units or understated a provision leaves balances and figures that need correcting. A power to suspend a model the entity has no alternative to is not usable. And for many Australian entities the model is built and validated by an offshore parent.</t>
  </si>
  <si>
    <t xml:space="preserve">M30 now requires the entity, on identifying a material error or failure, to determine its cause, assess whether the weakness affects other models, and address the effect on figures, balances and customer or beneficiary amounts already produced. M31 requires an identified alternative basis for highest-tier models. M08 requires the entity to satisfy itself about group-performed work and retain the ability to direct and challenge it.</t>
  </si>
  <si>
    <t xml:space="preserve">M08, M30 and M31.</t>
  </si>
  <si>
    <t xml:space="preserve">ECB guide on group-level model governance; OSFI E-23 lifecycle stages.</t>
  </si>
  <si>
    <t xml:space="preserve">RT-49</t>
  </si>
  <si>
    <t xml:space="preserve">The crosswalk asserted that the BCBS does not address aggregate model risk.</t>
  </si>
  <si>
    <t xml:space="preserve">An asserted negative is a claim like any other. Adversarial review suggested the Basel Framework's prudent valuation guidance and Pillar 3 prudent valuation template may in fact require a model risk valuation adjustment and its public disclosure, which would make the negative wrong.</t>
  </si>
  <si>
    <t xml:space="preserve">The claim could not be resolved either way: the BIS Basel Framework chapter pages render their text client-side and could not be retrieved. Rather than keep an unverified negative or adopt an unverified positive, the cell now records the lead and its status. Ledger entry ST-17 marks it for resolution from the primary chapter before consultation.</t>
  </si>
  <si>
    <t xml:space="preserve">One crosswalk cell; one statement-ledger entry. No requirement relies on the point.</t>
  </si>
  <si>
    <t xml:space="preserve">BIS Basel Framework CAP50 chapter listing (title confirmed, text not retrievable).</t>
  </si>
  <si>
    <t xml:space="preserve">Open — unresolved, disclosed</t>
  </si>
  <si>
    <t xml:space="preserve">RT-50</t>
  </si>
  <si>
    <t xml:space="preserve">The standard applied all requirements to every model, with proportionality operating only on control intensity. Annex F recorded a de minimis exception as an open policy question.</t>
  </si>
  <si>
    <t xml:space="preserve">Without a de minimis mechanism, a model that could not matter attracts the same lifecycle as one that determines regulatory capital. Every comparator relieves low-consequence models of the full lifecycle, and the 2026 US guidance says so expressly: where models are deemed immaterial, model risk management may consist of identifying them and monitoring the conditions under which their use may become material.</t>
  </si>
  <si>
    <t xml:space="preserve">A de minimis exception was added at model level as M05. A model determined to be de minimis attracts only identification, inventory, ownership, classification and reassessment. Three anti-abuse limbs were drafted with it: prohibited classes that can never be de minimis (regulatory capital, provisions, insurance liabilities, reported valuations, unit prices and other customer or beneficiary amounts, and models supporting a critical operation); an aggregate test, because a population of individually immaterial models sharing an assumption may not be immaterial together; and a bar on disaggregating a model to bring its components under the threshold. The exception deliberately does not release a model from the inventory, since an entity that has removed a model cannot demonstrate the determination was ever made.</t>
  </si>
  <si>
    <t xml:space="preserve">New requirement M05; six new guidance paragraphs; a new Annex A definition; a new crosswalk topic; the proportionality scoring domain updated. Marked as a policy choice requiring consultation and cost-benefit testing.</t>
  </si>
  <si>
    <t xml:space="preserve">US interagency guidance 2026 §III; OSFI E-23 (2027) Principles 2.1 and 2.3; PRA SS1/23 Principle 1.3.</t>
  </si>
  <si>
    <t xml:space="preserve">Closed — requirement added</t>
  </si>
  <si>
    <t xml:space="preserve">RT-51</t>
  </si>
  <si>
    <t xml:space="preserve">Inserting M05 into Part A shifted every subsequent requirement identifier.</t>
  </si>
  <si>
    <t xml:space="preserve">An audit trail that references identifiers is only useful if those references still resolve. Leaving the earlier entries pointing at pre-insertion numbers would have silently misdirected every correction recorded before this one.</t>
  </si>
  <si>
    <t xml:space="preserve">All identifiers from the former M05 onward were resequenced upward by one across the requirement register, the practice guide, the scoring model, the crosswalk, this audit trail and the statement ledger. The concordance is simply: M01 to M04 unchanged; former Mnn for nn of 05 or above is now M(nn+1). References in this audit trail and the ledger have been updated to current identifiers, so an entry describing a correction to the former M13 now reads M14.</t>
  </si>
  <si>
    <t xml:space="preserve">Every artefact. The integrity check confirms that no guidance paragraph, scoring domain or cross-reference points at an identifier that does not exist.</t>
  </si>
  <si>
    <t xml:space="preserve">Automated resequencing with verification by the package integrity check.</t>
  </si>
  <si>
    <t xml:space="preserve">Closed — resequenced and verified</t>
  </si>
  <si>
    <t xml:space="preserve">RT-52</t>
  </si>
  <si>
    <t xml:space="preserve">Full adversarial verification of the five red-team lenses returned 57 findings, of which 31 were refuted outright and 24 were reduced to a smaller residual.</t>
  </si>
  <si>
    <t xml:space="preserve">Most findings were raised against snapshots of the package taken before earlier corrections landed. Verifiers repeatedly established that a quoted defect no longer existed, and that the proposed fix would either be a no-op or would reopen a closed correction. Acting on the raw findings would have undone RT-27, RT-31, RT-33, RT-34, RT-42, RT-46 and RT-47.</t>
  </si>
  <si>
    <t xml:space="preserve">Only the verified residuals were applied. M23's explanatory paragraph stated a different three-limb test from its own bold paragraph and reintroduced incentives as a co-equal limb; it now tracks the requirement and demotes incentives to a practical condition. M22 now prints the validation components in the order the current US guidance uses. M36's approval and use-test limbs are now expressly conditional on the applicable capital standard. Annex A's model definition carried a sentence M02 does not contain, and 'material model' used a non-negligible-effect trigger where 'material purpose' used a material-effect one; both are aligned. Three stale attributions in the practice guide were corrected: PRA Principle 5 for aggregate model risk, the exception paragraph reading as though it could except a requirement, and the superseded bias phrasing in the AI chapter.</t>
  </si>
  <si>
    <t xml:space="preserve">M22, M23, M36, two Annex A definitions and three practice guide paragraphs; CPS 001 and SPS 114 registered; two Annex F items extended.</t>
  </si>
  <si>
    <t xml:space="preserve">PRA SS1/23 Principles 2.1 and 5; US interagency guidance 2026 §§III and V; the package's own closed audit entries.</t>
  </si>
  <si>
    <t xml:space="preserve">Closed — verified residuals applied</t>
  </si>
  <si>
    <t xml:space="preserve">RT-53</t>
  </si>
  <si>
    <t xml:space="preserve">Two findings survived verification intact rather than being reduced.</t>
  </si>
  <si>
    <t xml:space="preserve">The Annex A model definition retained a three-component sentence that the operative definition in M02 does not contain, so the defined term and the requirement said different things; and M36 imposed an unconditional obligation to obtain APRA approval for model change and to use the model in internal risk management, where those duties arise only where the applicable capital standard imposes them.</t>
  </si>
  <si>
    <t xml:space="preserve">Both were applied as verified. The definition now matches M02 word for word, with the three-component description retained in the practice guide where it is explanatory. M36's limbs are now conditional on the applicable prudential standard.</t>
  </si>
  <si>
    <t xml:space="preserve">Annex A and M36.</t>
  </si>
  <si>
    <t xml:space="preserve">Independent verification at the locus; APS 113 and the ECB internal models framework.</t>
  </si>
  <si>
    <t xml:space="preserve">RT-54</t>
  </si>
  <si>
    <t xml:space="preserve">M37 and M38 both brought expected credit loss models into the scope of the Prudential Standard. M37 applied it to models used 'to determine expected credit losses'; M38 applied it to models used 'to assess and measure expected credit losses and to determine provisions'.</t>
  </si>
  <si>
    <t xml:space="preserve">Two mandatory paragraphs scoping the same models is a drafting defect. An entity cannot tell which paragraph governs, and a duplicated scoping obligation invites the argument that the two differ in some intended way.</t>
  </si>
  <si>
    <t xml:space="preserve">The expected credit loss limb was removed from M37, leaving M38 as the single scoping paragraph for expected credit loss and provisioning models. M37 now governs valuation and financial and regulatory reporting models, with guidance signposting paragraph 38 and confirming that both apply where one model serves both purposes.</t>
  </si>
  <si>
    <t xml:space="preserve">M37 and M38.</t>
  </si>
  <si>
    <t xml:space="preserve">Both requirement texts read at the locus.</t>
  </si>
  <si>
    <t xml:space="preserve">RT-55</t>
  </si>
  <si>
    <t xml:space="preserve">M45's independent review limb was drafted as applying where APRA requires a review of 'an aspect of its model risk management, including its provisioning practices'.</t>
  </si>
  <si>
    <t xml:space="preserve">Does the APS 220 Special purpose engagements provision, on which the limb rests, bear that weight? Its verbatim words extend to 'all or a particular aspect of the ADI's credit risk management, including provisioning practices'.</t>
  </si>
  <si>
    <t xml:space="preserve">It does not. The drafting substituted model risk management for credit risk management as the genus, converting a credit risk power into a model risk power, and did so in a cross-industry instrument when APS 220 applies to ADIs only. M45 now states an entity's obligation to support a review where the power is conferred by another instrument, without purporting to confer the power itself, and preserves the APS 220 formulation accurately as a separate limb. Guidance states expressly that the APS 220 provision does not reach model risk management at large and supplies no basis at all for an insurer or RSE licensee.</t>
  </si>
  <si>
    <t xml:space="preserve">M45 and its guidance; a new Annex F entry on independent review and special purpose engagements.</t>
  </si>
  <si>
    <t xml:space="preserve">APS 220 Special purpose engagements, verbatim; the drafting precedent set by RT-42, that the package must not assume a power no cited instrument supplies.</t>
  </si>
  <si>
    <t xml:space="preserve">RT-56</t>
  </si>
  <si>
    <t xml:space="preserve">The practice guide stated that where this Prudential Standard and APS 220 overlap, 'APS 220 prevails as the more specific instrument'.</t>
  </si>
  <si>
    <t xml:space="preserve">Is that precedence rule established anywhere, and what would it do if this Prudential Standard required more of a model than APS 220 does?</t>
  </si>
  <si>
    <t xml:space="preserve">It is established nowhere. The standard's Interpretation section creates no such rule, and as drafted the sentence would read down this Prudential Standard wherever it imposed the higher obligation — the opposite of the intent. The guidance now states that the two are cumulative, that neither reads down the other, and that the higher obligation is the one to meet, with the formal interaction recorded in Annex F for settlement.</t>
  </si>
  <si>
    <t xml:space="preserve">The expected credit loss chapter of the guide; a new Annex F entry on interaction with APS 220.</t>
  </si>
  <si>
    <t xml:space="preserve">The Interpretation section of the standard; APS 220.</t>
  </si>
  <si>
    <t xml:space="preserve">RT-57</t>
  </si>
  <si>
    <t xml:space="preserve">Annex G set out twelve focus areas for a review of expected credit loss models.</t>
  </si>
  <si>
    <t xml:space="preserve">Would the annex let a reviewer appointed under a special purpose engagement form a view on whether the reported provision is supportable?</t>
  </si>
  <si>
    <t xml:space="preserve">Not on the measurement itself. The annex addressed framework, governance, staging, segmentation, scenarios, overlays and data, but omitted the mechanics where expected credit loss estimates actually fail: the component models and their validation, the lifetime probability of default term structure, loss given default and collateral realisation, exposure at default and credit conversion factors for undrawn commitments, behavioural life and prepayment, discounting, back-testing of the estimate against realised losses, individually assessed exposures, the interaction of hardship, forbearance and write-off with measurement, and externally sourced components. Four new areas were added and the sequence reordered to follow the order in which an engagement would work through them.</t>
  </si>
  <si>
    <t xml:space="preserve">Annex G, which gained four focus areas.</t>
  </si>
  <si>
    <t xml:space="preserve">Assessed against the measurement requirements of AASB 9 and the matters BCBS d350 and APRA's October 2023 letter direct to validation and credit judgement.</t>
  </si>
  <si>
    <t xml:space="preserve">RT-58</t>
  </si>
  <si>
    <t xml:space="preserve">Annex F stated that 'CPS 240' is a drafting placeholder only, after the package had been renumbered to CPS XXXX.</t>
  </si>
  <si>
    <t xml:space="preserve">Did the renumbering reach every occurrence?</t>
  </si>
  <si>
    <t xml:space="preserve">All but one. The string was split across two source lines, so it survived a search for the whole phrase and remained in the one annex whose purpose is to record that the number is a placeholder. Corrected, and the check was re-run over the assembled content of every module rather than over the source lines, which is the only form of the check that would have caught it.</t>
  </si>
  <si>
    <t xml:space="preserve">Annex F.</t>
  </si>
  <si>
    <t xml:space="preserve">Whole-package scan of assembled string values, which now reports no stale instrument numbers.</t>
  </si>
  <si>
    <t xml:space="preserve">RT-59</t>
  </si>
  <si>
    <t xml:space="preserve">The RT-56 correction was applied to the practice guide but not to the standard. M38's guidance still read that 'where the two overlap the more specific requirement in APS 220 prevails', while the guide had been changed to say the two are cumulative.</t>
  </si>
  <si>
    <t xml:space="preserve">Found on re-executing the pipeline after RT-56. Two questions: did the correction reach every locus, and is the precedence formulation right anywhere it appears?</t>
  </si>
  <si>
    <t xml:space="preserve">It had not, and it was not. The two documents contradicted each other, and the formulation was actively wrong for M38 — it would let an ADI satisfy the bare APS 220 validation obligation and disregard the validation discipline M38 exists to supply. M38 now carries the cumulative formulation. M36's parallel deference to the capital standards was kept, because APS 113 contains a complete and more demanding model regime where APS 220 contains a bare obligation, but it was made precise: the capital standard governs approval, change and conditions of use, and does not relieve the entity of the framework obligations it does not address. The valuation scoring action was also still referring to expected credit loss models after RT-54 moved them to M38.</t>
  </si>
  <si>
    <t xml:space="preserve">M36, M38, and two recommended actions in the scoring model.</t>
  </si>
  <si>
    <t xml:space="preserve">Detected by rebuilding from source and reading the assembled output rather than the diff.</t>
  </si>
  <si>
    <t xml:space="preserve">RT-60</t>
  </si>
  <si>
    <t xml:space="preserve">The package asserted that no special purpose engagement power reached an insurer or an RSE licensee, and that APS 220 was the only instrument conferring one. M45, its guidance, Annex F, Annex G and the practice guide were all drafted on that footing.</t>
  </si>
  <si>
    <t xml:space="preserve">Raised by an independent red-team lens as an asserted negative from an unexamined field — the same defect class as RT-42 — and then put directly by the reviewer, who asked whether APS 220 or APS 310 allows expected credit loss models to be looked at.</t>
  </si>
  <si>
    <t xml:space="preserve">The assertion was wrong. A special purpose engagement power exists in every industry this Prudential Standard covers, in the Audit and Related Matters standards: APS 310 for ADIs (operations, prudential reporting, risk management systems or financial position), GPS 310 for general insurers, LPS 310 for life companies and HPS 310 for private health insurers (operations, risk management or financial affairs), and SPS 310 for RSE licensees (business operations, compliance with prudential requirements or the risk management framework). Each was read from the primary instrument and each is in force. Because they reach risk management rather than credit risk management, they are a better fit for a model risk review than APS 220, which remains the narrower ADI-only basis for the credit risk and provisioning aspects. M45 now rests on the 310 standards with APS 220 as a second basis; Annex F's question changes from whether to confer a power to how M45 interacts with the powers that exist; Annex G gains a table of the provisions; and the guide chapter and scoring action were rewritten.</t>
  </si>
  <si>
    <t xml:space="preserve">M45 and its guidance, two Annex F entries, the Annex G callout and a new table, the guide chapter, the ECL scoring domain, and five new source register entries.</t>
  </si>
  <si>
    <t xml:space="preserve">APS 310, GPS 310, LPS 310, HPS 310 and SPS 310 read from apra.gov.au on 25 July 2026.</t>
  </si>
  <si>
    <t xml:space="preserve">RT-61</t>
  </si>
  <si>
    <t xml:space="preserve">M45's limb required access to whatever 'the review requires', and described the engagement as one APRA may 'commission'.</t>
  </si>
  <si>
    <t xml:space="preserve">Independent lens: who fixes the scope of the obligation, and who appoints and pays?</t>
  </si>
  <si>
    <t xml:space="preserve">Both were wrong. The extent of a binding obligation was left to a privately appointed reviewer rather than to the matters APRA specifies; the limb now reads 'reasonably required for the matters APRA has specified'. And under every one of these provisions APRA requires the entity to appoint and the entity bears the cost, so 'commission' — the ordinary word for engaging and paying a reviewer — told entities the opposite of what the provisions do. Corrected in the Annex G callout, the guide and the scoring action. The limb was also conditioned on 'a prudential standard', which on its face included this one, making the paragraph arguably its own enabling provision; it now reads 'another prudential standard'.</t>
  </si>
  <si>
    <t xml:space="preserve">M45; the Annex G callout; the guide chapter; the ECL scoring domain.</t>
  </si>
  <si>
    <t xml:space="preserve">The verbatim provisions; the drafting principle applied at RT-55.</t>
  </si>
  <si>
    <t xml:space="preserve">RT-62</t>
  </si>
  <si>
    <t xml:space="preserve">The Annex G callout and M45's guidance said a review of the whole of Annex G was the kind of engagement the APS 220 provision contemplates.</t>
  </si>
  <si>
    <t xml:space="preserve">Independent lens: RT-55 narrowed M45 to respect the APS 220 genus, and RT-57 enlarged Annex G in the same revision, but nobody re-tested the enlarged Annex against the narrowed genus.</t>
  </si>
  <si>
    <t xml:space="preserve">The over-claim had survived at a different locus, and in the standard rather than the guide. The focus areas on model risk framework coverage, on third-party and vendor components and on interaction with regulatory capital and reporting are none of them credit risk management. With APS 310 now identified the problem largely dissolves, because the 310 standards reach risk management generally; the callout and the guide now attribute the credit risk and provisioning areas to APS 220 and the remainder to APS 310. Recorded because the pattern — a correction that is right where it is applied and does not travel — is the same one as RT-59 and is now the package's most frequent defect.</t>
  </si>
  <si>
    <t xml:space="preserve">The Annex G callout; M45's guidance; the guide chapter.</t>
  </si>
  <si>
    <t xml:space="preserve">Independent red-team lens on the special purpose engagement power.</t>
  </si>
  <si>
    <t xml:space="preserve">RT-63</t>
  </si>
  <si>
    <t xml:space="preserve">The pre-existing Annex F entry 'APRA powers' listed independent review among the powers to be settled, and the new entry on special purpose engagements owned the same decision.</t>
  </si>
  <si>
    <t xml:space="preserve">Independent lens: two entries in one settlement register owning one decision, neither cross-referencing the other.</t>
  </si>
  <si>
    <t xml:space="preserve">Annex F is a work allocation to APRA Legal and the Office of Parliamentary Counsel, and duplicated ownership invites either duplicated work or divergent resolution. Independent review was struck from the general powers entry, which now points to the dedicated entry.</t>
  </si>
  <si>
    <t xml:space="preserve">Two Annex F entries.</t>
  </si>
  <si>
    <t xml:space="preserve">Independent red-team lens; the same reasoning applied at RT-54.</t>
  </si>
  <si>
    <t xml:space="preserve">RT-64</t>
  </si>
  <si>
    <t xml:space="preserve">The two 'Capturing economic uncertainty' paragraphs in the expected credit loss chapter of the practice guide were tagged to requirements M38 and M40.</t>
  </si>
  <si>
    <t xml:space="preserve">Independent lens: inserting M38 renumbered the requirements above it, so does M40 still mean what the chapter was drafted against?</t>
  </si>
  <si>
    <t xml:space="preserve">It does not. Before the insertion M40 was stress testing; after it, M40 is 'Models used by RSE licensees' and stress testing became M41. The guide chapter was drafted against the pre-insertion numbering, so the superannuation requirement's guidance pointer reached two paragraphs about expected credit loss sensitivity analysis and internal capital adequacy assessment, and the stress testing requirement lost them. Both tags corrected to M41. M40 now resolves to paragraphs 116 to 117 and M41 to 118 to 119 and 126 to 127. This class of error passes every existing check: both identifiers exist, so the cross-reference verification confirms the pointer resolves while it points at the wrong requirement. It was found only by an independent reader asking what the identifier now means.</t>
  </si>
  <si>
    <t xml:space="preserve">Two guide paragraphs; the guidance cross-references under M40 and M41 in the standard.</t>
  </si>
  <si>
    <t xml:space="preserve">content_guide.numbered() before and after; the diff of the commit that introduced M38.</t>
  </si>
  <si>
    <t xml:space="preserve">RT-65</t>
  </si>
  <si>
    <t xml:space="preserve">The Annex G focus area on staging tested the indicators used to transfer exposures into Stage 2 and the sensitivity of the provision to staging thresholds.</t>
  </si>
  <si>
    <t xml:space="preserve">Independent lens: does the Annex ever test the measurement consequence of the transfer, as distinct from its trigger?</t>
  </si>
  <si>
    <t xml:space="preserve">It did not. A search of the whole package returned no occurrence of '12-month', 'credit-impaired', 'definition of default' or 'cure'. The point of a Stage 2 transfer is that it changes the measurement basis from twelve-month to lifetime expected credit losses, and a review that tested only the trigger would not reach the consequence that makes the trigger matter. That area was retitled and now tests whether the staging outcome selects the correct measurement basis through all three stages, and whether the definitions of default and cure are consistent with those used in credit risk management and regulatory capital. Evidence now includes a stage reconciliation with movements explained.</t>
  </si>
  <si>
    <t xml:space="preserve">The Annex G focus area on staging, significant increase in credit risk and measurement basis.</t>
  </si>
  <si>
    <t xml:space="preserve">AASB 9 measurement requirements; absence confirmed by search across all content modules.</t>
  </si>
  <si>
    <t xml:space="preserve">RT-66</t>
  </si>
  <si>
    <t xml:space="preserve">The Annex G focus area on outcomes analysis asked whether the entity compares expected credit losses previously recognised against losses actually realised.</t>
  </si>
  <si>
    <t xml:space="preserve">Independent lens: an AASB 9 estimate is a probability-weighted expectation across scenarios, so is single-period comparison against outcomes a coherent test at all?</t>
  </si>
  <si>
    <t xml:space="preserve">Partly. Verification rejected the wider claim — the area asks for bias identified across periods, not single-period falsification — but confirmed a real defect inside it: the area did not require the comparison to be made on a matched horizon, and a lifetime estimate compared against one year of write-offs is not a test of anything. The area now requires twelve-month estimates to be compared against the following twelve months and lifetime estimates only over multi-period cohorts, states expressly that a single period falsifies nothing, and adds comparison of realised macroeconomic conditions against the scenario set.</t>
  </si>
  <si>
    <t xml:space="preserve">The Annex G focus area on outcomes analysis and back-testing of the estimate.</t>
  </si>
  <si>
    <t xml:space="preserve">Adversarial verification of an overstated finding, which reduced it to the part that held.</t>
  </si>
  <si>
    <t xml:space="preserve">RT-67</t>
  </si>
  <si>
    <t xml:space="preserve">Annex G never established the perimeter of the review.</t>
  </si>
  <si>
    <t xml:space="preserve">Independent lens: could a reviewer conclude on whether the reported provision is supportable without first knowing what is inside the estimate? 'Level 2', 'subsidiar' and 'solo' returned no hit in any focus area.</t>
  </si>
  <si>
    <t xml:space="preserve">No. A new area, Perimeter and completeness of coverage, was added second, testing whether every portfolio contributing to the provision is measured by a model within the framework, whether every entity is identified including branches, offshore operations and run-off books, whether any material portfolio is measured on a non-modelled or legacy basis, and whether methodology differences across the group are deliberate. Evidence includes a reconciliation from the reported provision to the models producing it, with any residual measured outside a model quantified.</t>
  </si>
  <si>
    <t xml:space="preserve">Annex G.</t>
  </si>
  <si>
    <t xml:space="preserve">Independent red-team lens on review utility; absence confirmed by search.</t>
  </si>
  <si>
    <t xml:space="preserve">RT-68</t>
  </si>
  <si>
    <t xml:space="preserve">Annex G tested the models but never the plumbing that runs them.</t>
  </si>
  <si>
    <t xml:space="preserve">Independent lens: is the model that produced the reported number the model that was validated? A keyword scan returned no hit for implementation, production, ledger, reconciliation, version or spreadsheet outside unrelated contexts.</t>
  </si>
  <si>
    <t xml:space="preserve">A validated methodology and a correct reported number are different things, and the gap between them is where end-user computing, unapproved versions and manual journals sit. A new area, Implementation and production controls, was added after Aggregate effect of adjustments, testing version control, implementation verification against the approved model, end-user computing in the production path, authorisation of post-calculation manual journals, and reconciliation from engine output to general ledger to reported provision. It seats there because the preceding area requires the Board to see modelled result, adjustments and final provision as three figures, and this is the test that the plumbing producing them holds.</t>
  </si>
  <si>
    <t xml:space="preserve">Annex G, now eighteen focus areas.</t>
  </si>
  <si>
    <t xml:space="preserve">Independent red-team lens on review utility; M25 and M29 of this Prudential Standard.</t>
  </si>
  <si>
    <t xml:space="preserve">RT-69</t>
  </si>
  <si>
    <t xml:space="preserve">The expected credit loss scoring domain was scored au=(4, 4, 5, 4) — cell for cell identical to the regulatory capital domain — and banded Low.</t>
  </si>
  <si>
    <t xml:space="preserve">Independent lens: Specificity 4 means clear expectations with minor gaps, but the domain's own gap text says the validation obligation exists without a framework defining what validation consists of, who performs it and what follows a finding. Is that a minor gap? And can a domain band Low while the change proposes a new mandatory paragraph for it?</t>
  </si>
  <si>
    <t xml:space="preserve">Verification confirmed the narrower point and rejected the wider one. Specificity was reduced from 4 to 3; Coverage 4, Enforceability 5 and Alignment 4 stand, because the near-verbatim transposition of BCBS d350 Principle 5 into a binding standard supports them. Specificity 2 was expressly rejected as describing a general obligation not specific to model risk, which is the opposite of what APS 220 does, and the overlays domain was not rescored because its Specificity 1 measures a different deficiency. The domain now scores 4.00 against a benchmark of 5, weighted gap 1.50, band Medium, which is consistent with an action proposing a new mandatory paragraph, a guide chapter and an annex. Note that 1.50 sits exactly on the Medium threshold, which is user-editable in the workbook.</t>
  </si>
  <si>
    <t xml:space="preserve">The expected credit loss scoring domain.</t>
  </si>
  <si>
    <t xml:space="preserve">The rubric in content_scoring.py read against the domain's own gap narrative and against how comparable domains are scored.</t>
  </si>
  <si>
    <t xml:space="preserve">RT-70</t>
  </si>
  <si>
    <t xml:space="preserve">The audit trail cited Annex G areas by number — 'sixteen focus areas', 'Focus area 1 ... area 13 ... area 15', 'focus area 5', 'focus area 4'.</t>
  </si>
  <si>
    <t xml:space="preserve">Raised by the lens proposing two new areas: inserting them would renumber everything below and silently invalidate every one of those citations.</t>
  </si>
  <si>
    <t xml:space="preserve">This is the RT-64 defect class — a pointer that still resolves while pointing at the wrong thing — and it would have been introduced by the very change that fixed two other defects. Rather than renumber the references, every numeric citation of an Annex G area in the audit trail was replaced with the area's name, so no future insertion can invalidate them. Recorded separately because the structural fix, not the individual corrections, is the point: this is the third appearance of the class after RT-59, RT-62 and RT-64.</t>
  </si>
  <si>
    <t xml:space="preserve">Four entries in the red-team audit trail.</t>
  </si>
  <si>
    <t xml:space="preserve">Anticipated by the lens before the change was made; verified by search for residual numeric references, which returns none.</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</si>
  <si>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</si>
  <si>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</si>
  <si>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</si>
  <si>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</si>
  <si>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</si>
  <si>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</si>
  <si>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</si>
  <si>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</si>
  <si>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</si>
  <si>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</si>
  <si>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</si>
  <si>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</si>
  <si>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</si>
  <si>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</si>
  <si>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</si>
  <si>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</si>
  <si>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</si>
  <si>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</si>
  <si>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</si>
  <si>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</si>
  <si>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</si>
  <si>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</si>
  <si>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</si>
  <si>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</si>
  <si>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</si>
  <si>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</si>
  <si>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</si>
  <si>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</si>
  <si>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</si>
  <si>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</si>
  <si>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</si>
  <si>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</si>
  <si>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</si>
  <si>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</si>
  <si>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</si>
  <si>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</si>
  <si>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</si>
  <si>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</si>
  <si>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</si>
  <si>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</si>
  <si>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</si>
  <si>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</si>
  <si>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</si>
  <si>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</si>
  <si>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</si>
  <si>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</si>
  <si>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</si>
  <si>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</si>
  <si>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</si>
  <si>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</si>
  <si>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</si>
  <si>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</si>
  <si>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</si>
  <si>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</si>
  <si>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</si>
  <si>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</si>
  <si>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</si>
  <si>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Twelve sound practices spanning strategic direction and oversight, governance and accountability, risk management framework, organisational adaptability, materiality and risk assessment, selection, data governance, explainability and transparency, performance management, human oversight, cyber and ICT risk, and third-party AI risk. Addresses AI rather than model risk generally, and is used here only as comparative input.</t>
  </si>
  <si>
    <t xml:space="preserve">https://www.fsb.org/2026/06/sound-practices-for-responsible-adoption-of-artificial-intelligence-ai/</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</si>
  <si>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</si>
  <si>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</si>
  <si>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</si>
  <si>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</si>
  <si>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Eleven principles. Principles 1 to 8 address banks: board and management responsibilities; sound ECL methodologies; credit risk rating process and grouping; adequacy of the allowance; ECL model validation; experienced credit judgment; common data; and disclosure. Principles 9 to 11 address supervisors: periodic evaluation of credit risk practices; satisfaction that ECL measurement methods are appropriate; and consideration of credit risk practices in assessing capital adequacy. Principle 5 is the direct antecedent of the ECL model validation obligation in APS 220.</t>
  </si>
  <si>
    <t xml:space="preserve">https://www.bis.org/bcbs/publ/d350.htm</t>
  </si>
  <si>
    <t xml:space="preserve">Supervisory observations on credit risk practices, including expected credit loss provisioning. Cited by APRA's October 2023 letter on provisioning practices as reinforcing the same observations.</t>
  </si>
  <si>
    <t xml:space="preserve">https://www.bis.org/publ/bcbs_nl32.htm</t>
  </si>
  <si>
    <t xml:space="preserve">Credit risk management framework, classification of exposures and provisions, and a dedicated section on credit risk and accounting for expected credit losses which requires an ADI to have sound policies and processes in place to appropriately validate models used to assess and measure expected credit losses. Also contains the Special purpose engagements provision under which APRA may require an ADI to appoint an independent party to review and report to APRA on its credit risk management, including provisioning practices.</t>
  </si>
  <si>
    <t xml:space="preserve">https://www.apra.gov.au/standards/aps-220</t>
  </si>
  <si>
    <t xml:space="preserve">Contains a Special purpose engagements provision under which APRA may require an ADI, by notice in writing, to appoint an auditor to report on a particular aspect of the ADI's operations, prudential reporting, risk management systems or financial position, at the ADI's expense. The reference to risk management systems is the express basis on which a review of model risk management may be required of an ADI.</t>
  </si>
  <si>
    <t xml:space="preserve">https://www.apra.gov.au/standards/aps-310</t>
  </si>
  <si>
    <t xml:space="preserve">Where APRA specifies in writing, the Appointed Auditor must undertake a special purpose review of matters relating to the insurer's operations, risk management or financial affairs, at the insurer's expense, reporting within three months.</t>
  </si>
  <si>
    <t xml:space="preserve">https://www.apra.gov.au/standards/gps-310</t>
  </si>
  <si>
    <t xml:space="preserve">Provides for a special purpose engagement relating to matters set out in writing by APRA concerning the life company's operations, risk management or financial affairs, at the life company's expense.</t>
  </si>
  <si>
    <t xml:space="preserve">https://www.apra.gov.au/standards/lps-310</t>
  </si>
  <si>
    <t xml:space="preserve">Provides for a special purpose engagement relating to matters set out in writing by APRA concerning the private health insurer's operations, risk management or financial affairs, at the insurer's expense.</t>
  </si>
  <si>
    <t xml:space="preserve">https://www.apra.gov.au/standards/hps-310</t>
  </si>
  <si>
    <t xml:space="preserve">APRA may require an RSE licensee to engage an auditor, being the existing RSE auditor or another auditor specified by APRA, to report on a particular aspect of the RSE licensee's business operations, compliance with prudential requirements or the RSE licensee's risk management framework, at the RSE licensee's expense.</t>
  </si>
  <si>
    <t xml:space="preserve">https://www.apra.gov.au/standards/sps-310</t>
  </si>
  <si>
    <t xml:space="preserve">Guidance on the APS 220 credit risk framework. Expressly states that the Basel Committee's Guidance on credit risk and accounting for expected credit losses of 18 December 2015 sets out guidance on sound credit risk practices associated with expected credit loss accounting frameworks, and that APRA expects ADIs to have regard to it.</t>
  </si>
  <si>
    <t xml:space="preserve">https://www.apra.gov.au/practice-guides/apg-220</t>
  </si>
  <si>
    <t xml:space="preserve">Sets out APRA's observations on expected credit loss provisioning across three areas: controls around model risk management, including judgement-based adjustments and overlays; capturing economic uncertainty through sensitivity analysis; and identifying credit deterioration in vulnerable sectors and borrowers, including the indicators used to transfer exposures to Stage 2 under AASB 9. The principal source for the review focus areas in Annex G.</t>
  </si>
  <si>
    <t xml:space="preserve">https://www.apra.gov.au/credit-risk-provisioning-practices-for-locally-incorporated-authorised-deposit-taking-institutions</t>
  </si>
  <si>
    <t xml:space="preserve">The expected credit loss impairment model, including the three-stage approach and the assessment of significant increases in credit risk. APS 220 requires provisions to be adequate and consistent with the objectives of Australian Accounting Standards.</t>
  </si>
  <si>
    <t xml:space="preserve">https://www.aasb.gov.au/pronouncements/accounting-standards/</t>
  </si>
  <si>
    <t xml:space="preserve">Guidance on the internal capital adequacy assessment process and on stress testing, which APRA's provisioning letter directs ADIs to follow when conducting sensitivity analysis on expected credit losses.</t>
  </si>
  <si>
    <t xml:space="preserve">https://www.apra.gov.au/practice-guides/cpg-110</t>
  </si>
  <si>
    <t xml:space="preserve">The centralised definitions instrument. Paragraph A6 provides that a term not defined in Annex A takes its meaning from CPS 001, so the two must be reconciled before issue.</t>
  </si>
  <si>
    <t xml:space="preserve">https://www.apra.gov.au/standards/cps-001</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</si>
  <si>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</si>
  <si>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</si>
  <si>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</si>
  <si>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</si>
  <si>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</si>
  <si>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</si>
  <si>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</si>
  <si>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</si>
  <si>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</si>
  <si>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</si>
  <si>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</si>
  <si>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</si>
  <si>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framework, Financial Condition Report and Actuarial Valuation Report — a form of independent professional review of actuarial models. The commencement and structure of the current version were confirmed from the APRA standards page; the in-force PDF could not be downloaded, so paragraph references are taken from the July 2019 text and should be re-checked against the 1 July 2026 version.</t>
  </si>
  <si>
    <t xml:space="preserve">https://www.apra.gov.au/standards/cps-320</t>
  </si>
  <si>
    <t xml:space="preserve">Investment governance, valuation, liquidity management and stress testing obligations that rely on models.</t>
  </si>
  <si>
    <t xml:space="preserve">https://www.apra.gov.au/standards/sps-530</t>
  </si>
  <si>
    <t xml:space="preserve">Capital adequacy for private health insurers. Named here because private health insurance is within the enabling authority for this Prudential Standard and its liability and risk equalisation calculations are modelled.</t>
  </si>
  <si>
    <t xml:space="preserve">https://www.apra.gov.au/standards/hps-110</t>
  </si>
  <si>
    <t xml:space="preserve">Determination and maintenance of the operational risk financial requirement target amount — the superannuation counterpart to an internal capital assessment, and therefore the place where aggregate model risk is considered for an RSE licensee.</t>
  </si>
  <si>
    <t xml:space="preserve">https://www.apra.gov.au/standards/sps-114</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</si>
  <si>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</si>
  <si>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</si>
  <si>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</si>
  <si>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</si>
  <si>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</si>
  <si>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</si>
  <si>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</si>
  <si>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</si>
  <si>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</si>
  <si>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</si>
  <si>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that is used for a material purpose, or whose failure or misuse could otherwise have a material effect on the entity's financial position, its regulatory obligations, its critical operations, or amounts or entitlements attributable to its customers or beneficiaries.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</si>
  <si>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</si>
  <si>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</si>
  <si>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</si>
  <si>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</si>
  <si>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</si>
  <si>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and objective analysis by persons with the expertise to identify model limitations, sufficient independence to maintain objectivity, and the organisational standing and influence to effect change.</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</si>
  <si>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</si>
  <si>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</si>
  <si>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</si>
  <si>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</si>
  <si>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</si>
  <si>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</si>
  <si>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</si>
  <si>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</si>
  <si>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De minimis model</t>
  </si>
  <si>
    <t xml:space="preserve">A model that the entity has determined, and documented, could not have a material effect on its financial position, its regulatory obligations, its critical operations, or amounts or entitlements attributable to its customers or beneficiaries if it were wrong or misused. A de minimis model remains subject to identification, inventory, ownership, classification and reassessment.</t>
  </si>
  <si>
    <t xml:space="preserve">Material purpose</t>
  </si>
  <si>
    <t xml:space="preserve">A purpose where an incorrect or misused model output could have a material effect on the entity's financial position, its regulatory obligations, its critical operations, or amounts or entitlements attributable to its customers or beneficiaries.</t>
  </si>
  <si>
    <t xml:space="preserve">Ongoing model monitoring</t>
  </si>
  <si>
    <t xml:space="preserve">Evaluation of whether a model continues to perform as expected given changes in products, exposures, activities, customers, data relevance or market conditions.</t>
  </si>
  <si>
    <t xml:space="preserve">Independent price verification</t>
  </si>
  <si>
    <t xml:space="preserve">Verification of valuation inputs and prices by a function independent of the business that originated the position, distinct from validation of the valuation model itself.</t>
  </si>
  <si>
    <t xml:space="preserve">Model failure</t>
  </si>
  <si>
    <t xml:space="preserve">An event in which a model produces materially incorrect output, is materially misused, or becomes unavailable, in each case in circumstances affecting a material purpose.</t>
  </si>
  <si>
    <t xml:space="preserve">Artificial intelligence system</t>
  </si>
  <si>
    <t xml:space="preserve">A machine-based system that infers from inputs how to generate outputs such as predictions, content, recommendations, decisions or actions. An artificial intelligence system that produces quantitative estimates relied upon for a material purpose is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</si>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</sst>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45</v>
      </c>
      <c r="C5" s="4" t="s">
        <v>32</v>
      </c>
    </row>
    <row r="6" customFormat="false" ht="30" hidden="false" customHeight="true" outlineLevel="0" collapsed="false">
      <c r="A6" s="5" t="s">
        <v>33</v>
      </c>
      <c r="B6" s="7" t="n">
        <f aca="false">COUNTIF('Requirements Register'!I5:I200,"Yes")</f>
        <v>5</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146</v>
      </c>
      <c r="C8" s="5" t="s">
        <v>38</v>
      </c>
    </row>
    <row r="9" customFormat="false" ht="30" hidden="false" customHeight="true" outlineLevel="0" collapsed="false">
      <c r="A9" s="4" t="s">
        <v>39</v>
      </c>
      <c r="B9" s="6" t="n">
        <f aca="false">COUNTA('Gap Assessment'!A5:A39)</f>
        <v>35</v>
      </c>
      <c r="C9" s="4" t="s">
        <v>40</v>
      </c>
    </row>
    <row r="10" customFormat="false" ht="30" hidden="false" customHeight="true" outlineLevel="0" collapsed="false">
      <c r="A10" s="5" t="s">
        <v>41</v>
      </c>
      <c r="B10" s="7" t="n">
        <f aca="false">ROUND(AVERAGE('Gap Assessment'!H5:H39),2)</f>
        <v>2.27</v>
      </c>
      <c r="C10" s="5" t="s">
        <v>42</v>
      </c>
    </row>
    <row r="11" customFormat="false" ht="30" hidden="false" customHeight="true" outlineLevel="0" collapsed="false">
      <c r="A11" s="4" t="s">
        <v>43</v>
      </c>
      <c r="B11" s="6" t="n">
        <f aca="false">ROUND(AVERAGE('Gap Assessment'!L5:L39),2)</f>
        <v>4.41</v>
      </c>
      <c r="C11" s="4" t="s">
        <v>44</v>
      </c>
    </row>
    <row r="12" customFormat="false" ht="30" hidden="false" customHeight="true" outlineLevel="0" collapsed="false">
      <c r="A12" s="5" t="s">
        <v>45</v>
      </c>
      <c r="B12" s="7" t="n">
        <f aca="false">COUNTIF('Gap Assessment'!K5:K39,"Critical")</f>
        <v>4</v>
      </c>
      <c r="C12" s="5" t="s">
        <v>46</v>
      </c>
    </row>
    <row r="13" customFormat="false" ht="30" hidden="false" customHeight="true" outlineLevel="0" collapsed="false">
      <c r="A13" s="4" t="s">
        <v>47</v>
      </c>
      <c r="B13" s="6" t="n">
        <f aca="false">COUNTIF('Gap Assessment'!K5:K39,"High")</f>
        <v>17</v>
      </c>
      <c r="C13" s="4" t="s">
        <v>48</v>
      </c>
    </row>
    <row r="14" customFormat="false" ht="30" hidden="false" customHeight="true" outlineLevel="0" collapsed="false">
      <c r="A14" s="5" t="s">
        <v>49</v>
      </c>
      <c r="B14" s="7" t="n">
        <f aca="false">COUNTA('Red Team Audit'!A5:A200)</f>
        <v>70</v>
      </c>
      <c r="C14" s="5" t="s">
        <v>50</v>
      </c>
    </row>
    <row r="15" customFormat="false" ht="30" hidden="false" customHeight="true" outlineLevel="0" collapsed="false">
      <c r="A15" s="4" t="s">
        <v>51</v>
      </c>
      <c r="B15" s="6" t="n">
        <f aca="false">COUNTIF('Red Team Audit'!G5:G200,"High")</f>
        <v>41</v>
      </c>
      <c r="C15" s="4" t="s">
        <v>52</v>
      </c>
    </row>
    <row r="16" customFormat="false" ht="30" hidden="false" customHeight="true" outlineLevel="0" collapsed="false">
      <c r="A16" s="5" t="s">
        <v>53</v>
      </c>
      <c r="B16" s="7" t="n">
        <f aca="false">COUNTA('Source Register'!A5:A200)</f>
        <v>50</v>
      </c>
      <c r="C16" s="5" t="s">
        <v>54</v>
      </c>
    </row>
    <row r="17" customFormat="false" ht="30" hidden="false" customHeight="true" outlineLevel="0" collapsed="false">
      <c r="A17" s="4" t="s">
        <v>55</v>
      </c>
      <c r="B17" s="6" t="n">
        <f aca="false">COUNTIF('Source Register'!I5:I200,"Verified — primary source")</f>
        <v>43</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22.3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1.25</v>
      </c>
      <c r="C47" s="12" t="s">
        <v>137</v>
      </c>
    </row>
    <row r="48" customFormat="false" ht="15" hidden="false" customHeight="false" outlineLevel="0" collapsed="false">
      <c r="A48" s="12" t="s">
        <v>143</v>
      </c>
      <c r="B48" s="13" t="n">
        <v>1</v>
      </c>
      <c r="C48" s="12" t="s">
        <v>144</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1.25</v>
      </c>
      <c r="C50" s="12" t="s">
        <v>137</v>
      </c>
    </row>
    <row r="51" customFormat="false" ht="15" hidden="false" customHeight="false" outlineLevel="0" collapsed="false">
      <c r="A51" s="12" t="s">
        <v>147</v>
      </c>
      <c r="B51" s="13" t="n">
        <v>1</v>
      </c>
      <c r="C51" s="12" t="s">
        <v>144</v>
      </c>
    </row>
    <row r="52" customFormat="false" ht="15" hidden="false" customHeight="false" outlineLevel="0" collapsed="false">
      <c r="A52" s="12" t="s">
        <v>148</v>
      </c>
      <c r="B52" s="13" t="n">
        <v>1.25</v>
      </c>
      <c r="C52" s="12" t="s">
        <v>137</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1.5</v>
      </c>
      <c r="C54" s="12" t="s">
        <v>135</v>
      </c>
    </row>
    <row r="55" customFormat="false" ht="15" hidden="false" customHeight="false" outlineLevel="0" collapsed="false">
      <c r="A55" s="12" t="s">
        <v>151</v>
      </c>
      <c r="B55" s="13" t="n">
        <v>1</v>
      </c>
      <c r="C55" s="12" t="s">
        <v>144</v>
      </c>
    </row>
    <row r="56" customFormat="false" ht="15" hidden="false" customHeight="false" outlineLevel="0" collapsed="false">
      <c r="A56" s="12" t="s">
        <v>152</v>
      </c>
      <c r="B56" s="13" t="n">
        <v>1</v>
      </c>
      <c r="C56" s="12" t="s">
        <v>144</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1.25</v>
      </c>
      <c r="C60" s="12" t="s">
        <v>137</v>
      </c>
    </row>
    <row r="61" customFormat="false" ht="15" hidden="false" customHeight="false" outlineLevel="0" collapsed="false">
      <c r="A61" s="12" t="s">
        <v>157</v>
      </c>
      <c r="B61" s="13" t="n">
        <v>1</v>
      </c>
      <c r="C61" s="12" t="s">
        <v>144</v>
      </c>
    </row>
    <row r="62" customFormat="false" ht="15" hidden="false" customHeight="false" outlineLevel="0" collapsed="false">
      <c r="A62" s="12" t="s">
        <v>158</v>
      </c>
      <c r="B62" s="13" t="n">
        <v>0.75</v>
      </c>
      <c r="C62" s="12" t="s">
        <v>159</v>
      </c>
    </row>
    <row r="63" customFormat="false" ht="15" hidden="false" customHeight="false" outlineLevel="0" collapsed="false">
      <c r="A63" s="12" t="s">
        <v>160</v>
      </c>
      <c r="B63" s="13" t="n">
        <v>1.25</v>
      </c>
      <c r="C63" s="12" t="s">
        <v>137</v>
      </c>
    </row>
    <row r="64" customFormat="false" ht="15" hidden="false" customHeight="false" outlineLevel="0" collapsed="false">
      <c r="A64" s="12" t="s">
        <v>161</v>
      </c>
      <c r="B64" s="13" t="n">
        <v>1</v>
      </c>
      <c r="C64" s="12" t="s">
        <v>144</v>
      </c>
    </row>
    <row r="65" customFormat="false" ht="15" hidden="false" customHeight="false" outlineLevel="0" collapsed="false">
      <c r="A65" s="12" t="s">
        <v>162</v>
      </c>
      <c r="B65" s="13" t="n">
        <v>1.25</v>
      </c>
      <c r="C65" s="12" t="s">
        <v>137</v>
      </c>
    </row>
    <row r="66" customFormat="false" ht="15" hidden="false" customHeight="false" outlineLevel="0" collapsed="false">
      <c r="A66" s="12" t="s">
        <v>163</v>
      </c>
      <c r="B66" s="13" t="n">
        <v>1.5</v>
      </c>
      <c r="C66" s="12" t="s">
        <v>135</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1.5</v>
      </c>
      <c r="C68" s="12" t="s">
        <v>135</v>
      </c>
    </row>
    <row r="69" customFormat="false" ht="15" hidden="false" customHeight="false" outlineLevel="0" collapsed="false">
      <c r="A69" s="12" t="s">
        <v>166</v>
      </c>
      <c r="B69" s="13" t="n">
        <v>1.25</v>
      </c>
      <c r="C69" s="12" t="s">
        <v>137</v>
      </c>
    </row>
    <row r="70" customFormat="false" ht="15" hidden="false" customHeight="false" outlineLevel="0" collapsed="false">
      <c r="A70" s="12" t="s">
        <v>167</v>
      </c>
      <c r="B70" s="13" t="n">
        <v>1.25</v>
      </c>
      <c r="C70" s="12" t="s">
        <v>137</v>
      </c>
    </row>
    <row r="71" customFormat="false" ht="15" hidden="false" customHeight="false" outlineLevel="0" collapsed="false">
      <c r="A71" s="12" t="s">
        <v>168</v>
      </c>
      <c r="B71" s="13" t="n">
        <v>1</v>
      </c>
      <c r="C71" s="12" t="s">
        <v>144</v>
      </c>
    </row>
    <row r="72" customFormat="false" ht="15" hidden="false" customHeight="false" outlineLevel="0" collapsed="false">
      <c r="A72" s="12" t="s">
        <v>169</v>
      </c>
      <c r="B72" s="13" t="n">
        <v>1.25</v>
      </c>
      <c r="C72" s="12" t="s">
        <v>137</v>
      </c>
    </row>
    <row r="73" customFormat="false" ht="15" hidden="false" customHeight="false" outlineLevel="0" collapsed="false">
      <c r="A73" s="12" t="s">
        <v>170</v>
      </c>
      <c r="B73" s="13" t="n">
        <v>1</v>
      </c>
      <c r="C73" s="12" t="s">
        <v>144</v>
      </c>
    </row>
    <row r="74" customFormat="false" ht="15" hidden="false" customHeight="false" outlineLevel="0" collapsed="false">
      <c r="A74" s="12" t="s">
        <v>171</v>
      </c>
      <c r="B74" s="13" t="n">
        <v>1.25</v>
      </c>
      <c r="C74" s="12" t="s">
        <v>137</v>
      </c>
    </row>
    <row r="75" customFormat="false" ht="15" hidden="false" customHeight="false" outlineLevel="0" collapsed="false">
      <c r="A75" s="12" t="s">
        <v>172</v>
      </c>
      <c r="B75" s="13" t="n">
        <v>1</v>
      </c>
      <c r="C75" s="12" t="s">
        <v>144</v>
      </c>
    </row>
    <row r="77" customFormat="false" ht="15" hidden="false" customHeight="false" outlineLevel="0" collapsed="false">
      <c r="A77" s="14" t="s">
        <v>173</v>
      </c>
    </row>
    <row r="78" customFormat="false" ht="61.5" hidden="false" customHeight="true" outlineLevel="0" collapsed="false">
      <c r="A78" s="15" t="s">
        <v>174</v>
      </c>
      <c r="B78" s="15"/>
      <c r="C78" s="15"/>
    </row>
    <row r="80" customFormat="false" ht="15" hidden="false" customHeight="false" outlineLevel="0" collapsed="false">
      <c r="A80" s="14" t="s">
        <v>175</v>
      </c>
    </row>
    <row r="81" customFormat="false" ht="30" hidden="false" customHeight="true" outlineLevel="0" collapsed="false">
      <c r="A81" s="15" t="s">
        <v>176</v>
      </c>
      <c r="B81" s="15"/>
      <c r="C81" s="15"/>
    </row>
    <row r="82" customFormat="false" ht="30" hidden="false" customHeight="true" outlineLevel="0" collapsed="false">
      <c r="A82" s="15" t="s">
        <v>177</v>
      </c>
      <c r="B82" s="15"/>
      <c r="C82" s="15"/>
    </row>
    <row r="83" customFormat="false" ht="30" hidden="false" customHeight="true" outlineLevel="0" collapsed="false">
      <c r="A83" s="15" t="s">
        <v>178</v>
      </c>
      <c r="B83" s="15"/>
      <c r="C83" s="15"/>
    </row>
    <row r="84" customFormat="false" ht="30" hidden="false" customHeight="true" outlineLevel="0" collapsed="false">
      <c r="A84" s="15" t="s">
        <v>179</v>
      </c>
      <c r="B84" s="15"/>
      <c r="C84" s="15"/>
    </row>
  </sheetData>
  <autoFilter ref="A4:B4"/>
  <mergeCells count="5">
    <mergeCell ref="A78:C78"/>
    <mergeCell ref="A81:C81"/>
    <mergeCell ref="A82:C82"/>
    <mergeCell ref="A83:C83"/>
    <mergeCell ref="A84:C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180</v>
      </c>
    </row>
    <row r="2" customFormat="false" ht="15" hidden="false" customHeight="false" outlineLevel="0" collapsed="false">
      <c r="A2" s="2" t="s">
        <v>181</v>
      </c>
    </row>
    <row r="4" customFormat="false" ht="30" hidden="false" customHeight="true" outlineLevel="0" collapsed="false">
      <c r="A4" s="3" t="s">
        <v>131</v>
      </c>
      <c r="B4" s="3" t="s">
        <v>85</v>
      </c>
      <c r="C4" s="3" t="s">
        <v>87</v>
      </c>
      <c r="D4" s="3" t="s">
        <v>89</v>
      </c>
      <c r="E4" s="3" t="s">
        <v>91</v>
      </c>
      <c r="F4" s="3" t="s">
        <v>132</v>
      </c>
      <c r="G4" s="3" t="s">
        <v>182</v>
      </c>
      <c r="H4" s="3" t="s">
        <v>183</v>
      </c>
      <c r="I4" s="3" t="s">
        <v>111</v>
      </c>
      <c r="J4" s="3" t="s">
        <v>115</v>
      </c>
      <c r="K4" s="3" t="s">
        <v>184</v>
      </c>
      <c r="L4" s="3" t="s">
        <v>185</v>
      </c>
      <c r="M4" s="3" t="s">
        <v>186</v>
      </c>
      <c r="N4" s="3" t="s">
        <v>187</v>
      </c>
      <c r="O4" s="3" t="s">
        <v>188</v>
      </c>
    </row>
    <row r="5" customFormat="false" ht="30" hidden="false" customHeight="true" outlineLevel="0" collapsed="false">
      <c r="A5" s="4" t="s">
        <v>134</v>
      </c>
      <c r="B5" s="16" t="n">
        <v>1</v>
      </c>
      <c r="C5" s="16" t="n">
        <v>1</v>
      </c>
      <c r="D5" s="16" t="n">
        <v>2</v>
      </c>
      <c r="E5" s="16" t="n">
        <v>1</v>
      </c>
      <c r="F5" s="17" t="n">
        <f aca="false">'Scoring Methodology'!$B$41</f>
        <v>1.5</v>
      </c>
      <c r="G5" s="4" t="s">
        <v>189</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190</v>
      </c>
      <c r="O5" s="4" t="s">
        <v>191</v>
      </c>
    </row>
    <row r="6" customFormat="false" ht="30" hidden="false" customHeight="true" outlineLevel="0" collapsed="false">
      <c r="A6" s="5" t="s">
        <v>136</v>
      </c>
      <c r="B6" s="19" t="n">
        <v>2</v>
      </c>
      <c r="C6" s="19" t="n">
        <v>2</v>
      </c>
      <c r="D6" s="19" t="n">
        <v>3</v>
      </c>
      <c r="E6" s="19" t="n">
        <v>2</v>
      </c>
      <c r="F6" s="20" t="n">
        <f aca="false">'Scoring Methodology'!$B$42</f>
        <v>1.25</v>
      </c>
      <c r="G6" s="5" t="s">
        <v>192</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193</v>
      </c>
      <c r="O6" s="5" t="s">
        <v>194</v>
      </c>
    </row>
    <row r="7" customFormat="false" ht="30" hidden="false" customHeight="true" outlineLevel="0" collapsed="false">
      <c r="A7" s="4" t="s">
        <v>138</v>
      </c>
      <c r="B7" s="16" t="n">
        <v>1</v>
      </c>
      <c r="C7" s="16" t="n">
        <v>1</v>
      </c>
      <c r="D7" s="16" t="n">
        <v>2</v>
      </c>
      <c r="E7" s="16" t="n">
        <v>1</v>
      </c>
      <c r="F7" s="17" t="n">
        <f aca="false">'Scoring Methodology'!$B$43</f>
        <v>1.25</v>
      </c>
      <c r="G7" s="4" t="s">
        <v>195</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196</v>
      </c>
      <c r="O7" s="4" t="s">
        <v>197</v>
      </c>
    </row>
    <row r="8" customFormat="false" ht="30" hidden="false" customHeight="true" outlineLevel="0" collapsed="false">
      <c r="A8" s="5" t="s">
        <v>139</v>
      </c>
      <c r="B8" s="19" t="n">
        <v>2</v>
      </c>
      <c r="C8" s="19" t="n">
        <v>1</v>
      </c>
      <c r="D8" s="19" t="n">
        <v>3</v>
      </c>
      <c r="E8" s="19" t="n">
        <v>2</v>
      </c>
      <c r="F8" s="20" t="n">
        <f aca="false">'Scoring Methodology'!$B$44</f>
        <v>1.25</v>
      </c>
      <c r="G8" s="5" t="s">
        <v>195</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198</v>
      </c>
      <c r="O8" s="5" t="s">
        <v>199</v>
      </c>
    </row>
    <row r="9" customFormat="false" ht="30" hidden="false" customHeight="true" outlineLevel="0" collapsed="false">
      <c r="A9" s="4" t="s">
        <v>140</v>
      </c>
      <c r="B9" s="16" t="n">
        <v>2</v>
      </c>
      <c r="C9" s="16" t="n">
        <v>2</v>
      </c>
      <c r="D9" s="16" t="n">
        <v>4</v>
      </c>
      <c r="E9" s="16" t="n">
        <v>2</v>
      </c>
      <c r="F9" s="17" t="n">
        <f aca="false">'Scoring Methodology'!$B$45</f>
        <v>1.5</v>
      </c>
      <c r="G9" s="4" t="s">
        <v>195</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200</v>
      </c>
      <c r="O9" s="4" t="s">
        <v>201</v>
      </c>
    </row>
    <row r="10" customFormat="false" ht="30" hidden="false" customHeight="true" outlineLevel="0" collapsed="false">
      <c r="A10" s="5" t="s">
        <v>141</v>
      </c>
      <c r="B10" s="19" t="n">
        <v>2</v>
      </c>
      <c r="C10" s="19" t="n">
        <v>2</v>
      </c>
      <c r="D10" s="19" t="n">
        <v>4</v>
      </c>
      <c r="E10" s="19" t="n">
        <v>2</v>
      </c>
      <c r="F10" s="20" t="n">
        <f aca="false">'Scoring Methodology'!$B$46</f>
        <v>1.25</v>
      </c>
      <c r="G10" s="5" t="s">
        <v>195</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202</v>
      </c>
      <c r="O10" s="5" t="s">
        <v>199</v>
      </c>
    </row>
    <row r="11" customFormat="false" ht="30" hidden="false" customHeight="true" outlineLevel="0" collapsed="false">
      <c r="A11" s="4" t="s">
        <v>142</v>
      </c>
      <c r="B11" s="16" t="n">
        <v>2</v>
      </c>
      <c r="C11" s="16" t="n">
        <v>1</v>
      </c>
      <c r="D11" s="16" t="n">
        <v>3</v>
      </c>
      <c r="E11" s="16" t="n">
        <v>2</v>
      </c>
      <c r="F11" s="17" t="n">
        <f aca="false">'Scoring Methodology'!$B$47</f>
        <v>1.25</v>
      </c>
      <c r="G11" s="4" t="s">
        <v>189</v>
      </c>
      <c r="H11" s="17" t="n">
        <f aca="false">ROUND(AVERAGE(B11:E11),2)</f>
        <v>2</v>
      </c>
      <c r="I11" s="17" t="n">
        <v>5</v>
      </c>
      <c r="J11" s="17" t="n">
        <f aca="false">ROUND(MAX(0,I11-H11)*F11,2)</f>
        <v>3.75</v>
      </c>
      <c r="K11" s="18" t="str">
        <f aca="false">IF(J11&gt;='Scoring Methodology'!$B$34,"Critical",IF(J11&gt;='Scoring Methodology'!$B$35,"High",IF(J11&gt;='Scoring Methodology'!$B$36,"Medium","Low")))</f>
        <v>High</v>
      </c>
      <c r="L11" s="16" t="n">
        <v>4.5</v>
      </c>
      <c r="M11" s="17" t="n">
        <f aca="false">ROUND(L11-H11,2)</f>
        <v>2.5</v>
      </c>
      <c r="N11" s="4" t="s">
        <v>203</v>
      </c>
      <c r="O11" s="4" t="s">
        <v>201</v>
      </c>
    </row>
    <row r="12" customFormat="false" ht="30" hidden="false" customHeight="true" outlineLevel="0" collapsed="false">
      <c r="A12" s="5" t="s">
        <v>143</v>
      </c>
      <c r="B12" s="19" t="n">
        <v>2</v>
      </c>
      <c r="C12" s="19" t="n">
        <v>1</v>
      </c>
      <c r="D12" s="19" t="n">
        <v>3</v>
      </c>
      <c r="E12" s="19" t="n">
        <v>2</v>
      </c>
      <c r="F12" s="20" t="n">
        <f aca="false">'Scoring Methodology'!$B$48</f>
        <v>1</v>
      </c>
      <c r="G12" s="5" t="s">
        <v>195</v>
      </c>
      <c r="H12" s="20" t="n">
        <f aca="false">ROUND(AVERAGE(B12:E12),2)</f>
        <v>2</v>
      </c>
      <c r="I12" s="20" t="n">
        <v>4</v>
      </c>
      <c r="J12" s="20" t="n">
        <f aca="false">ROUND(MAX(0,I12-H12)*F12,2)</f>
        <v>2</v>
      </c>
      <c r="K12" s="21" t="str">
        <f aca="false">IF(J12&gt;='Scoring Methodology'!$B$34,"Critical",IF(J12&gt;='Scoring Methodology'!$B$35,"High",IF(J12&gt;='Scoring Methodology'!$B$36,"Medium","Low")))</f>
        <v>Medium</v>
      </c>
      <c r="L12" s="19" t="n">
        <v>4</v>
      </c>
      <c r="M12" s="20" t="n">
        <f aca="false">ROUND(L12-H12,2)</f>
        <v>2</v>
      </c>
      <c r="N12" s="5" t="s">
        <v>204</v>
      </c>
      <c r="O12" s="5" t="s">
        <v>201</v>
      </c>
    </row>
    <row r="13" customFormat="false" ht="30" hidden="false" customHeight="true" outlineLevel="0" collapsed="false">
      <c r="A13" s="4" t="s">
        <v>145</v>
      </c>
      <c r="B13" s="16" t="n">
        <v>2</v>
      </c>
      <c r="C13" s="16" t="n">
        <v>2</v>
      </c>
      <c r="D13" s="16" t="n">
        <v>4</v>
      </c>
      <c r="E13" s="16" t="n">
        <v>2</v>
      </c>
      <c r="F13" s="17" t="n">
        <f aca="false">'Scoring Methodology'!$B$49</f>
        <v>1.25</v>
      </c>
      <c r="G13" s="4" t="s">
        <v>205</v>
      </c>
      <c r="H13" s="17" t="n">
        <f aca="false">ROUND(AVERAGE(B13:E13),2)</f>
        <v>2.5</v>
      </c>
      <c r="I13" s="17" t="n">
        <v>5</v>
      </c>
      <c r="J13" s="17" t="n">
        <f aca="false">ROUND(MAX(0,I13-H13)*F13,2)</f>
        <v>3.13</v>
      </c>
      <c r="K13" s="18" t="str">
        <f aca="false">IF(J13&gt;='Scoring Methodology'!$B$34,"Critical",IF(J13&gt;='Scoring Methodology'!$B$35,"High",IF(J13&gt;='Scoring Methodology'!$B$36,"Medium","Low")))</f>
        <v>High</v>
      </c>
      <c r="L13" s="16" t="n">
        <v>4.5</v>
      </c>
      <c r="M13" s="17" t="n">
        <f aca="false">ROUND(L13-H13,2)</f>
        <v>2</v>
      </c>
      <c r="N13" s="4" t="s">
        <v>206</v>
      </c>
      <c r="O13" s="4" t="s">
        <v>207</v>
      </c>
    </row>
    <row r="14" customFormat="false" ht="30" hidden="false" customHeight="true" outlineLevel="0" collapsed="false">
      <c r="A14" s="5" t="s">
        <v>146</v>
      </c>
      <c r="B14" s="19" t="n">
        <v>3</v>
      </c>
      <c r="C14" s="19" t="n">
        <v>2</v>
      </c>
      <c r="D14" s="19" t="n">
        <v>3</v>
      </c>
      <c r="E14" s="19" t="n">
        <v>3</v>
      </c>
      <c r="F14" s="20" t="n">
        <f aca="false">'Scoring Methodology'!$B$50</f>
        <v>1.25</v>
      </c>
      <c r="G14" s="5" t="s">
        <v>208</v>
      </c>
      <c r="H14" s="20" t="n">
        <f aca="false">ROUND(AVERAGE(B14:E14),2)</f>
        <v>2.75</v>
      </c>
      <c r="I14" s="20" t="n">
        <v>5</v>
      </c>
      <c r="J14" s="20" t="n">
        <f aca="false">ROUND(MAX(0,I14-H14)*F14,2)</f>
        <v>2.81</v>
      </c>
      <c r="K14" s="21" t="str">
        <f aca="false">IF(J14&gt;='Scoring Methodology'!$B$34,"Critical",IF(J14&gt;='Scoring Methodology'!$B$35,"High",IF(J14&gt;='Scoring Methodology'!$B$36,"Medium","Low")))</f>
        <v>Medium</v>
      </c>
      <c r="L14" s="19" t="n">
        <v>4.5</v>
      </c>
      <c r="M14" s="20" t="n">
        <f aca="false">ROUND(L14-H14,2)</f>
        <v>1.75</v>
      </c>
      <c r="N14" s="5" t="s">
        <v>209</v>
      </c>
      <c r="O14" s="5" t="s">
        <v>210</v>
      </c>
    </row>
    <row r="15" customFormat="false" ht="30" hidden="false" customHeight="true" outlineLevel="0" collapsed="false">
      <c r="A15" s="4" t="s">
        <v>147</v>
      </c>
      <c r="B15" s="16" t="n">
        <v>2</v>
      </c>
      <c r="C15" s="16" t="n">
        <v>2</v>
      </c>
      <c r="D15" s="16" t="n">
        <v>3</v>
      </c>
      <c r="E15" s="16" t="n">
        <v>2</v>
      </c>
      <c r="F15" s="17" t="n">
        <f aca="false">'Scoring Methodology'!$B$51</f>
        <v>1</v>
      </c>
      <c r="G15" s="4" t="s">
        <v>211</v>
      </c>
      <c r="H15" s="17" t="n">
        <f aca="false">ROUND(AVERAGE(B15:E15),2)</f>
        <v>2.25</v>
      </c>
      <c r="I15" s="17" t="n">
        <v>5</v>
      </c>
      <c r="J15" s="17" t="n">
        <f aca="false">ROUND(MAX(0,I15-H15)*F15,2)</f>
        <v>2.75</v>
      </c>
      <c r="K15" s="18" t="str">
        <f aca="false">IF(J15&gt;='Scoring Methodology'!$B$34,"Critical",IF(J15&gt;='Scoring Methodology'!$B$35,"High",IF(J15&gt;='Scoring Methodology'!$B$36,"Medium","Low")))</f>
        <v>Medium</v>
      </c>
      <c r="L15" s="16" t="n">
        <v>4.5</v>
      </c>
      <c r="M15" s="17" t="n">
        <f aca="false">ROUND(L15-H15,2)</f>
        <v>2.25</v>
      </c>
      <c r="N15" s="4" t="s">
        <v>212</v>
      </c>
      <c r="O15" s="4" t="s">
        <v>207</v>
      </c>
    </row>
    <row r="16" customFormat="false" ht="30" hidden="false" customHeight="true" outlineLevel="0" collapsed="false">
      <c r="A16" s="5" t="s">
        <v>148</v>
      </c>
      <c r="B16" s="19" t="n">
        <v>2</v>
      </c>
      <c r="C16" s="19" t="n">
        <v>1</v>
      </c>
      <c r="D16" s="19" t="n">
        <v>3</v>
      </c>
      <c r="E16" s="19" t="n">
        <v>2</v>
      </c>
      <c r="F16" s="20" t="n">
        <f aca="false">'Scoring Methodology'!$B$52</f>
        <v>1.25</v>
      </c>
      <c r="G16" s="5" t="s">
        <v>213</v>
      </c>
      <c r="H16" s="20" t="n">
        <f aca="false">ROUND(AVERAGE(B16:E16),2)</f>
        <v>2</v>
      </c>
      <c r="I16" s="20" t="n">
        <v>5</v>
      </c>
      <c r="J16" s="20" t="n">
        <f aca="false">ROUND(MAX(0,I16-H16)*F16,2)</f>
        <v>3.75</v>
      </c>
      <c r="K16" s="21" t="str">
        <f aca="false">IF(J16&gt;='Scoring Methodology'!$B$34,"Critical",IF(J16&gt;='Scoring Methodology'!$B$35,"High",IF(J16&gt;='Scoring Methodology'!$B$36,"Medium","Low")))</f>
        <v>High</v>
      </c>
      <c r="L16" s="19" t="n">
        <v>4.5</v>
      </c>
      <c r="M16" s="20" t="n">
        <f aca="false">ROUND(L16-H16,2)</f>
        <v>2.5</v>
      </c>
      <c r="N16" s="5" t="s">
        <v>214</v>
      </c>
      <c r="O16" s="5" t="s">
        <v>191</v>
      </c>
    </row>
    <row r="17" customFormat="false" ht="30" hidden="false" customHeight="true" outlineLevel="0" collapsed="false">
      <c r="A17" s="4" t="s">
        <v>149</v>
      </c>
      <c r="B17" s="16" t="n">
        <v>2</v>
      </c>
      <c r="C17" s="16" t="n">
        <v>2</v>
      </c>
      <c r="D17" s="16" t="n">
        <v>4</v>
      </c>
      <c r="E17" s="16" t="n">
        <v>2</v>
      </c>
      <c r="F17" s="17" t="n">
        <f aca="false">'Scoring Methodology'!$B$53</f>
        <v>1.5</v>
      </c>
      <c r="G17" s="4" t="s">
        <v>195</v>
      </c>
      <c r="H17" s="17" t="n">
        <f aca="false">ROUND(AVERAGE(B17:E17),2)</f>
        <v>2.5</v>
      </c>
      <c r="I17" s="17" t="n">
        <v>5</v>
      </c>
      <c r="J17" s="17" t="n">
        <f aca="false">ROUND(MAX(0,I17-H17)*F17,2)</f>
        <v>3.75</v>
      </c>
      <c r="K17" s="18" t="str">
        <f aca="false">IF(J17&gt;='Scoring Methodology'!$B$34,"Critical",IF(J17&gt;='Scoring Methodology'!$B$35,"High",IF(J17&gt;='Scoring Methodology'!$B$36,"Medium","Low")))</f>
        <v>High</v>
      </c>
      <c r="L17" s="16" t="n">
        <v>5</v>
      </c>
      <c r="M17" s="17" t="n">
        <f aca="false">ROUND(L17-H17,2)</f>
        <v>2.5</v>
      </c>
      <c r="N17" s="4" t="s">
        <v>215</v>
      </c>
      <c r="O17" s="4" t="s">
        <v>216</v>
      </c>
    </row>
    <row r="18" customFormat="false" ht="30" hidden="false" customHeight="true" outlineLevel="0" collapsed="false">
      <c r="A18" s="5" t="s">
        <v>150</v>
      </c>
      <c r="B18" s="19" t="n">
        <v>1</v>
      </c>
      <c r="C18" s="19" t="n">
        <v>1</v>
      </c>
      <c r="D18" s="19" t="n">
        <v>2</v>
      </c>
      <c r="E18" s="19" t="n">
        <v>1</v>
      </c>
      <c r="F18" s="20" t="n">
        <f aca="false">'Scoring Methodology'!$B$54</f>
        <v>1.5</v>
      </c>
      <c r="G18" s="5" t="s">
        <v>205</v>
      </c>
      <c r="H18" s="20" t="n">
        <f aca="false">ROUND(AVERAGE(B18:E18),2)</f>
        <v>1.25</v>
      </c>
      <c r="I18" s="20" t="n">
        <v>5</v>
      </c>
      <c r="J18" s="20" t="n">
        <f aca="false">ROUND(MAX(0,I18-H18)*F18,2)</f>
        <v>5.63</v>
      </c>
      <c r="K18" s="21" t="str">
        <f aca="false">IF(J18&gt;='Scoring Methodology'!$B$34,"Critical",IF(J18&gt;='Scoring Methodology'!$B$35,"High",IF(J18&gt;='Scoring Methodology'!$B$36,"Medium","Low")))</f>
        <v>Critical</v>
      </c>
      <c r="L18" s="19" t="n">
        <v>4.5</v>
      </c>
      <c r="M18" s="20" t="n">
        <f aca="false">ROUND(L18-H18,2)</f>
        <v>3.25</v>
      </c>
      <c r="N18" s="5" t="s">
        <v>217</v>
      </c>
      <c r="O18" s="5" t="s">
        <v>218</v>
      </c>
    </row>
    <row r="19" customFormat="false" ht="30" hidden="false" customHeight="true" outlineLevel="0" collapsed="false">
      <c r="A19" s="4" t="s">
        <v>151</v>
      </c>
      <c r="B19" s="16" t="n">
        <v>2</v>
      </c>
      <c r="C19" s="16" t="n">
        <v>2</v>
      </c>
      <c r="D19" s="16" t="n">
        <v>4</v>
      </c>
      <c r="E19" s="16" t="n">
        <v>2</v>
      </c>
      <c r="F19" s="17" t="n">
        <f aca="false">'Scoring Methodology'!$B$55</f>
        <v>1</v>
      </c>
      <c r="G19" s="4" t="s">
        <v>219</v>
      </c>
      <c r="H19" s="17" t="n">
        <f aca="false">ROUND(AVERAGE(B19:E19),2)</f>
        <v>2.5</v>
      </c>
      <c r="I19" s="17" t="n">
        <v>5</v>
      </c>
      <c r="J19" s="17" t="n">
        <f aca="false">ROUND(MAX(0,I19-H19)*F19,2)</f>
        <v>2.5</v>
      </c>
      <c r="K19" s="18" t="str">
        <f aca="false">IF(J19&gt;='Scoring Methodology'!$B$34,"Critical",IF(J19&gt;='Scoring Methodology'!$B$35,"High",IF(J19&gt;='Scoring Methodology'!$B$36,"Medium","Low")))</f>
        <v>Medium</v>
      </c>
      <c r="L19" s="16" t="n">
        <v>4.5</v>
      </c>
      <c r="M19" s="17" t="n">
        <f aca="false">ROUND(L19-H19,2)</f>
        <v>2</v>
      </c>
      <c r="N19" s="4" t="s">
        <v>220</v>
      </c>
      <c r="O19" s="4" t="s">
        <v>221</v>
      </c>
    </row>
    <row r="20" customFormat="false" ht="30" hidden="false" customHeight="true" outlineLevel="0" collapsed="false">
      <c r="A20" s="5" t="s">
        <v>152</v>
      </c>
      <c r="B20" s="19" t="n">
        <v>1</v>
      </c>
      <c r="C20" s="19" t="n">
        <v>1</v>
      </c>
      <c r="D20" s="19" t="n">
        <v>3</v>
      </c>
      <c r="E20" s="19" t="n">
        <v>1</v>
      </c>
      <c r="F20" s="20" t="n">
        <f aca="false">'Scoring Methodology'!$B$56</f>
        <v>1</v>
      </c>
      <c r="G20" s="5" t="s">
        <v>219</v>
      </c>
      <c r="H20" s="20" t="n">
        <f aca="false">ROUND(AVERAGE(B20:E20),2)</f>
        <v>1.5</v>
      </c>
      <c r="I20" s="20" t="n">
        <v>5</v>
      </c>
      <c r="J20" s="20" t="n">
        <f aca="false">ROUND(MAX(0,I20-H20)*F20,2)</f>
        <v>3.5</v>
      </c>
      <c r="K20" s="21" t="str">
        <f aca="false">IF(J20&gt;='Scoring Methodology'!$B$34,"Critical",IF(J20&gt;='Scoring Methodology'!$B$35,"High",IF(J20&gt;='Scoring Methodology'!$B$36,"Medium","Low")))</f>
        <v>High</v>
      </c>
      <c r="L20" s="19" t="n">
        <v>4</v>
      </c>
      <c r="M20" s="20" t="n">
        <f aca="false">ROUND(L20-H20,2)</f>
        <v>2.5</v>
      </c>
      <c r="N20" s="5" t="s">
        <v>222</v>
      </c>
      <c r="O20" s="5" t="s">
        <v>223</v>
      </c>
    </row>
    <row r="21" customFormat="false" ht="30" hidden="false" customHeight="true" outlineLevel="0" collapsed="false">
      <c r="A21" s="4" t="s">
        <v>153</v>
      </c>
      <c r="B21" s="16" t="n">
        <v>2</v>
      </c>
      <c r="C21" s="16" t="n">
        <v>2</v>
      </c>
      <c r="D21" s="16" t="n">
        <v>4</v>
      </c>
      <c r="E21" s="16" t="n">
        <v>2</v>
      </c>
      <c r="F21" s="17" t="n">
        <f aca="false">'Scoring Methodology'!$B$57</f>
        <v>1.25</v>
      </c>
      <c r="G21" s="4" t="s">
        <v>219</v>
      </c>
      <c r="H21" s="17" t="n">
        <f aca="false">ROUND(AVERAGE(B21:E21),2)</f>
        <v>2.5</v>
      </c>
      <c r="I21" s="17" t="n">
        <v>5</v>
      </c>
      <c r="J21" s="17" t="n">
        <f aca="false">ROUND(MAX(0,I21-H21)*F21,2)</f>
        <v>3.13</v>
      </c>
      <c r="K21" s="18" t="str">
        <f aca="false">IF(J21&gt;='Scoring Methodology'!$B$34,"Critical",IF(J21&gt;='Scoring Methodology'!$B$35,"High",IF(J21&gt;='Scoring Methodology'!$B$36,"Medium","Low")))</f>
        <v>High</v>
      </c>
      <c r="L21" s="16" t="n">
        <v>4.5</v>
      </c>
      <c r="M21" s="17" t="n">
        <f aca="false">ROUND(L21-H21,2)</f>
        <v>2</v>
      </c>
      <c r="N21" s="4" t="s">
        <v>224</v>
      </c>
      <c r="O21" s="4" t="s">
        <v>225</v>
      </c>
    </row>
    <row r="22" customFormat="false" ht="30" hidden="false" customHeight="true" outlineLevel="0" collapsed="false">
      <c r="A22" s="5" t="s">
        <v>154</v>
      </c>
      <c r="B22" s="19" t="n">
        <v>1</v>
      </c>
      <c r="C22" s="19" t="n">
        <v>1</v>
      </c>
      <c r="D22" s="19" t="n">
        <v>3</v>
      </c>
      <c r="E22" s="19" t="n">
        <v>1</v>
      </c>
      <c r="F22" s="20" t="n">
        <f aca="false">'Scoring Methodology'!$B$58</f>
        <v>1.25</v>
      </c>
      <c r="G22" s="5" t="s">
        <v>226</v>
      </c>
      <c r="H22" s="20" t="n">
        <f aca="false">ROUND(AVERAGE(B22:E22),2)</f>
        <v>1.5</v>
      </c>
      <c r="I22" s="20" t="n">
        <v>5</v>
      </c>
      <c r="J22" s="20" t="n">
        <f aca="false">ROUND(MAX(0,I22-H22)*F22,2)</f>
        <v>4.38</v>
      </c>
      <c r="K22" s="21" t="str">
        <f aca="false">IF(J22&gt;='Scoring Methodology'!$B$34,"Critical",IF(J22&gt;='Scoring Methodology'!$B$35,"High",IF(J22&gt;='Scoring Methodology'!$B$36,"Medium","Low")))</f>
        <v>High</v>
      </c>
      <c r="L22" s="19" t="n">
        <v>4.5</v>
      </c>
      <c r="M22" s="20" t="n">
        <f aca="false">ROUND(L22-H22,2)</f>
        <v>3</v>
      </c>
      <c r="N22" s="5" t="s">
        <v>227</v>
      </c>
      <c r="O22" s="5" t="s">
        <v>228</v>
      </c>
    </row>
    <row r="23" customFormat="false" ht="30" hidden="false" customHeight="true" outlineLevel="0" collapsed="false">
      <c r="A23" s="4" t="s">
        <v>155</v>
      </c>
      <c r="B23" s="16" t="n">
        <v>2</v>
      </c>
      <c r="C23" s="16" t="n">
        <v>1</v>
      </c>
      <c r="D23" s="16" t="n">
        <v>3</v>
      </c>
      <c r="E23" s="16" t="n">
        <v>2</v>
      </c>
      <c r="F23" s="17" t="n">
        <f aca="false">'Scoring Methodology'!$B$59</f>
        <v>1.25</v>
      </c>
      <c r="G23" s="4" t="s">
        <v>195</v>
      </c>
      <c r="H23" s="17" t="n">
        <f aca="false">ROUND(AVERAGE(B23:E23),2)</f>
        <v>2</v>
      </c>
      <c r="I23" s="17" t="n">
        <v>5</v>
      </c>
      <c r="J23" s="17" t="n">
        <f aca="false">ROUND(MAX(0,I23-H23)*F23,2)</f>
        <v>3.75</v>
      </c>
      <c r="K23" s="18" t="str">
        <f aca="false">IF(J23&gt;='Scoring Methodology'!$B$34,"Critical",IF(J23&gt;='Scoring Methodology'!$B$35,"High",IF(J23&gt;='Scoring Methodology'!$B$36,"Medium","Low")))</f>
        <v>High</v>
      </c>
      <c r="L23" s="16" t="n">
        <v>4.5</v>
      </c>
      <c r="M23" s="17" t="n">
        <f aca="false">ROUND(L23-H23,2)</f>
        <v>2.5</v>
      </c>
      <c r="N23" s="4" t="s">
        <v>229</v>
      </c>
      <c r="O23" s="4" t="s">
        <v>230</v>
      </c>
    </row>
    <row r="24" customFormat="false" ht="30" hidden="false" customHeight="true" outlineLevel="0" collapsed="false">
      <c r="A24" s="5" t="s">
        <v>156</v>
      </c>
      <c r="B24" s="19" t="n">
        <v>2</v>
      </c>
      <c r="C24" s="19" t="n">
        <v>2</v>
      </c>
      <c r="D24" s="19" t="n">
        <v>3</v>
      </c>
      <c r="E24" s="19" t="n">
        <v>2</v>
      </c>
      <c r="F24" s="20" t="n">
        <f aca="false">'Scoring Methodology'!$B$60</f>
        <v>1.25</v>
      </c>
      <c r="G24" s="5" t="s">
        <v>231</v>
      </c>
      <c r="H24" s="20" t="n">
        <f aca="false">ROUND(AVERAGE(B24:E24),2)</f>
        <v>2.25</v>
      </c>
      <c r="I24" s="20" t="n">
        <v>5</v>
      </c>
      <c r="J24" s="20" t="n">
        <f aca="false">ROUND(MAX(0,I24-H24)*F24,2)</f>
        <v>3.44</v>
      </c>
      <c r="K24" s="21" t="str">
        <f aca="false">IF(J24&gt;='Scoring Methodology'!$B$34,"Critical",IF(J24&gt;='Scoring Methodology'!$B$35,"High",IF(J24&gt;='Scoring Methodology'!$B$36,"Medium","Low")))</f>
        <v>High</v>
      </c>
      <c r="L24" s="19" t="n">
        <v>4.5</v>
      </c>
      <c r="M24" s="20" t="n">
        <f aca="false">ROUND(L24-H24,2)</f>
        <v>2.25</v>
      </c>
      <c r="N24" s="5" t="s">
        <v>232</v>
      </c>
      <c r="O24" s="5" t="s">
        <v>233</v>
      </c>
    </row>
    <row r="25" customFormat="false" ht="30" hidden="false" customHeight="true" outlineLevel="0" collapsed="false">
      <c r="A25" s="4" t="s">
        <v>157</v>
      </c>
      <c r="B25" s="16" t="n">
        <v>2</v>
      </c>
      <c r="C25" s="16" t="n">
        <v>1</v>
      </c>
      <c r="D25" s="16" t="n">
        <v>3</v>
      </c>
      <c r="E25" s="16" t="n">
        <v>2</v>
      </c>
      <c r="F25" s="17" t="n">
        <f aca="false">'Scoring Methodology'!$B$61</f>
        <v>1</v>
      </c>
      <c r="G25" s="4" t="s">
        <v>195</v>
      </c>
      <c r="H25" s="17" t="n">
        <f aca="false">ROUND(AVERAGE(B25:E25),2)</f>
        <v>2</v>
      </c>
      <c r="I25" s="17" t="n">
        <v>5</v>
      </c>
      <c r="J25" s="17" t="n">
        <f aca="false">ROUND(MAX(0,I25-H25)*F25,2)</f>
        <v>3</v>
      </c>
      <c r="K25" s="18" t="str">
        <f aca="false">IF(J25&gt;='Scoring Methodology'!$B$34,"Critical",IF(J25&gt;='Scoring Methodology'!$B$35,"High",IF(J25&gt;='Scoring Methodology'!$B$36,"Medium","Low")))</f>
        <v>High</v>
      </c>
      <c r="L25" s="16" t="n">
        <v>4.5</v>
      </c>
      <c r="M25" s="17" t="n">
        <f aca="false">ROUND(L25-H25,2)</f>
        <v>2.5</v>
      </c>
      <c r="N25" s="4" t="s">
        <v>234</v>
      </c>
      <c r="O25" s="4" t="s">
        <v>235</v>
      </c>
    </row>
    <row r="26" customFormat="false" ht="30" hidden="false" customHeight="true" outlineLevel="0" collapsed="false">
      <c r="A26" s="5" t="s">
        <v>158</v>
      </c>
      <c r="B26" s="19" t="n">
        <v>1</v>
      </c>
      <c r="C26" s="19" t="n">
        <v>1</v>
      </c>
      <c r="D26" s="19" t="n">
        <v>2</v>
      </c>
      <c r="E26" s="19" t="n">
        <v>1</v>
      </c>
      <c r="F26" s="20" t="n">
        <f aca="false">'Scoring Methodology'!$B$62</f>
        <v>0.75</v>
      </c>
      <c r="G26" s="5" t="s">
        <v>192</v>
      </c>
      <c r="H26" s="20" t="n">
        <f aca="false">ROUND(AVERAGE(B26:E26),2)</f>
        <v>1.25</v>
      </c>
      <c r="I26" s="20" t="n">
        <v>4</v>
      </c>
      <c r="J26" s="20" t="n">
        <f aca="false">ROUND(MAX(0,I26-H26)*F26,2)</f>
        <v>2.06</v>
      </c>
      <c r="K26" s="21" t="str">
        <f aca="false">IF(J26&gt;='Scoring Methodology'!$B$34,"Critical",IF(J26&gt;='Scoring Methodology'!$B$35,"High",IF(J26&gt;='Scoring Methodology'!$B$36,"Medium","Low")))</f>
        <v>Medium</v>
      </c>
      <c r="L26" s="19" t="n">
        <v>4</v>
      </c>
      <c r="M26" s="20" t="n">
        <f aca="false">ROUND(L26-H26,2)</f>
        <v>2.75</v>
      </c>
      <c r="N26" s="5" t="s">
        <v>236</v>
      </c>
      <c r="O26" s="5" t="s">
        <v>237</v>
      </c>
    </row>
    <row r="27" customFormat="false" ht="30" hidden="false" customHeight="true" outlineLevel="0" collapsed="false">
      <c r="A27" s="4" t="s">
        <v>160</v>
      </c>
      <c r="B27" s="16" t="n">
        <v>2</v>
      </c>
      <c r="C27" s="16" t="n">
        <v>2</v>
      </c>
      <c r="D27" s="16" t="n">
        <v>4</v>
      </c>
      <c r="E27" s="16" t="n">
        <v>2</v>
      </c>
      <c r="F27" s="17" t="n">
        <f aca="false">'Scoring Methodology'!$B$63</f>
        <v>1.25</v>
      </c>
      <c r="G27" s="4" t="s">
        <v>238</v>
      </c>
      <c r="H27" s="17" t="n">
        <f aca="false">ROUND(AVERAGE(B27:E27),2)</f>
        <v>2.5</v>
      </c>
      <c r="I27" s="17" t="n">
        <v>5</v>
      </c>
      <c r="J27" s="17" t="n">
        <f aca="false">ROUND(MAX(0,I27-H27)*F27,2)</f>
        <v>3.13</v>
      </c>
      <c r="K27" s="18" t="str">
        <f aca="false">IF(J27&gt;='Scoring Methodology'!$B$34,"Critical",IF(J27&gt;='Scoring Methodology'!$B$35,"High",IF(J27&gt;='Scoring Methodology'!$B$36,"Medium","Low")))</f>
        <v>High</v>
      </c>
      <c r="L27" s="16" t="n">
        <v>4.5</v>
      </c>
      <c r="M27" s="17" t="n">
        <f aca="false">ROUND(L27-H27,2)</f>
        <v>2</v>
      </c>
      <c r="N27" s="4" t="s">
        <v>239</v>
      </c>
      <c r="O27" s="4" t="s">
        <v>240</v>
      </c>
    </row>
    <row r="28" customFormat="false" ht="30" hidden="false" customHeight="true" outlineLevel="0" collapsed="false">
      <c r="A28" s="5" t="s">
        <v>161</v>
      </c>
      <c r="B28" s="19" t="n">
        <v>2</v>
      </c>
      <c r="C28" s="19" t="n">
        <v>1</v>
      </c>
      <c r="D28" s="19" t="n">
        <v>3</v>
      </c>
      <c r="E28" s="19" t="n">
        <v>2</v>
      </c>
      <c r="F28" s="20" t="n">
        <f aca="false">'Scoring Methodology'!$B$64</f>
        <v>1</v>
      </c>
      <c r="G28" s="5" t="s">
        <v>241</v>
      </c>
      <c r="H28" s="20" t="n">
        <f aca="false">ROUND(AVERAGE(B28:E28),2)</f>
        <v>2</v>
      </c>
      <c r="I28" s="20" t="n">
        <v>4</v>
      </c>
      <c r="J28" s="20" t="n">
        <f aca="false">ROUND(MAX(0,I28-H28)*F28,2)</f>
        <v>2</v>
      </c>
      <c r="K28" s="21" t="str">
        <f aca="false">IF(J28&gt;='Scoring Methodology'!$B$34,"Critical",IF(J28&gt;='Scoring Methodology'!$B$35,"High",IF(J28&gt;='Scoring Methodology'!$B$36,"Medium","Low")))</f>
        <v>Medium</v>
      </c>
      <c r="L28" s="19" t="n">
        <v>4</v>
      </c>
      <c r="M28" s="20" t="n">
        <f aca="false">ROUND(L28-H28,2)</f>
        <v>2</v>
      </c>
      <c r="N28" s="5" t="s">
        <v>242</v>
      </c>
      <c r="O28" s="5" t="s">
        <v>243</v>
      </c>
    </row>
    <row r="29" customFormat="false" ht="30" hidden="false" customHeight="true" outlineLevel="0" collapsed="false">
      <c r="A29" s="4" t="s">
        <v>162</v>
      </c>
      <c r="B29" s="16" t="n">
        <v>2</v>
      </c>
      <c r="C29" s="16" t="n">
        <v>2</v>
      </c>
      <c r="D29" s="16" t="n">
        <v>3</v>
      </c>
      <c r="E29" s="16" t="n">
        <v>2</v>
      </c>
      <c r="F29" s="17" t="n">
        <f aca="false">'Scoring Methodology'!$B$65</f>
        <v>1.25</v>
      </c>
      <c r="G29" s="4" t="s">
        <v>192</v>
      </c>
      <c r="H29" s="17" t="n">
        <f aca="false">ROUND(AVERAGE(B29:E29),2)</f>
        <v>2.25</v>
      </c>
      <c r="I29" s="17" t="n">
        <v>5</v>
      </c>
      <c r="J29" s="17" t="n">
        <f aca="false">ROUND(MAX(0,I29-H29)*F29,2)</f>
        <v>3.44</v>
      </c>
      <c r="K29" s="18" t="str">
        <f aca="false">IF(J29&gt;='Scoring Methodology'!$B$34,"Critical",IF(J29&gt;='Scoring Methodology'!$B$35,"High",IF(J29&gt;='Scoring Methodology'!$B$36,"Medium","Low")))</f>
        <v>High</v>
      </c>
      <c r="L29" s="16" t="n">
        <v>4.5</v>
      </c>
      <c r="M29" s="17" t="n">
        <f aca="false">ROUND(L29-H29,2)</f>
        <v>2.25</v>
      </c>
      <c r="N29" s="4" t="s">
        <v>244</v>
      </c>
      <c r="O29" s="4" t="s">
        <v>245</v>
      </c>
    </row>
    <row r="30" customFormat="false" ht="30" hidden="false" customHeight="true" outlineLevel="0" collapsed="false">
      <c r="A30" s="5" t="s">
        <v>163</v>
      </c>
      <c r="B30" s="19" t="n">
        <v>4</v>
      </c>
      <c r="C30" s="19" t="n">
        <v>4</v>
      </c>
      <c r="D30" s="19" t="n">
        <v>5</v>
      </c>
      <c r="E30" s="19" t="n">
        <v>4</v>
      </c>
      <c r="F30" s="20" t="n">
        <f aca="false">'Scoring Methodology'!$B$66</f>
        <v>1.5</v>
      </c>
      <c r="G30" s="5" t="s">
        <v>219</v>
      </c>
      <c r="H30" s="20" t="n">
        <f aca="false">ROUND(AVERAGE(B30:E30),2)</f>
        <v>4.25</v>
      </c>
      <c r="I30" s="20" t="n">
        <v>5</v>
      </c>
      <c r="J30" s="20" t="n">
        <f aca="false">ROUND(MAX(0,I30-H30)*F30,2)</f>
        <v>1.13</v>
      </c>
      <c r="K30" s="21" t="str">
        <f aca="false">IF(J30&gt;='Scoring Methodology'!$B$34,"Critical",IF(J30&gt;='Scoring Methodology'!$B$35,"High",IF(J30&gt;='Scoring Methodology'!$B$36,"Medium","Low")))</f>
        <v>Low</v>
      </c>
      <c r="L30" s="19" t="n">
        <v>4.75</v>
      </c>
      <c r="M30" s="20" t="n">
        <f aca="false">ROUND(L30-H30,2)</f>
        <v>0.5</v>
      </c>
      <c r="N30" s="5" t="s">
        <v>246</v>
      </c>
      <c r="O30" s="5" t="s">
        <v>247</v>
      </c>
    </row>
    <row r="31" customFormat="false" ht="30" hidden="false" customHeight="true" outlineLevel="0" collapsed="false">
      <c r="A31" s="4" t="s">
        <v>164</v>
      </c>
      <c r="B31" s="16" t="n">
        <v>2</v>
      </c>
      <c r="C31" s="16" t="n">
        <v>2</v>
      </c>
      <c r="D31" s="16" t="n">
        <v>3</v>
      </c>
      <c r="E31" s="16" t="n">
        <v>2</v>
      </c>
      <c r="F31" s="17" t="n">
        <f aca="false">'Scoring Methodology'!$B$67</f>
        <v>1.25</v>
      </c>
      <c r="G31" s="4" t="s">
        <v>248</v>
      </c>
      <c r="H31" s="17" t="n">
        <f aca="false">ROUND(AVERAGE(B31:E31),2)</f>
        <v>2.25</v>
      </c>
      <c r="I31" s="17" t="n">
        <v>4</v>
      </c>
      <c r="J31" s="17" t="n">
        <f aca="false">ROUND(MAX(0,I31-H31)*F31,2)</f>
        <v>2.19</v>
      </c>
      <c r="K31" s="18" t="str">
        <f aca="false">IF(J31&gt;='Scoring Methodology'!$B$34,"Critical",IF(J31&gt;='Scoring Methodology'!$B$35,"High",IF(J31&gt;='Scoring Methodology'!$B$36,"Medium","Low")))</f>
        <v>Medium</v>
      </c>
      <c r="L31" s="16" t="n">
        <v>4</v>
      </c>
      <c r="M31" s="17" t="n">
        <f aca="false">ROUND(L31-H31,2)</f>
        <v>1.75</v>
      </c>
      <c r="N31" s="4" t="s">
        <v>249</v>
      </c>
      <c r="O31" s="4" t="s">
        <v>250</v>
      </c>
    </row>
    <row r="32" customFormat="false" ht="30" hidden="false" customHeight="true" outlineLevel="0" collapsed="false">
      <c r="A32" s="5" t="s">
        <v>165</v>
      </c>
      <c r="B32" s="19" t="n">
        <v>4</v>
      </c>
      <c r="C32" s="19" t="n">
        <v>3</v>
      </c>
      <c r="D32" s="19" t="n">
        <v>5</v>
      </c>
      <c r="E32" s="19" t="n">
        <v>4</v>
      </c>
      <c r="F32" s="20" t="n">
        <f aca="false">'Scoring Methodology'!$B$68</f>
        <v>1.5</v>
      </c>
      <c r="G32" s="5" t="s">
        <v>248</v>
      </c>
      <c r="H32" s="20" t="n">
        <f aca="false">ROUND(AVERAGE(B32:E32),2)</f>
        <v>4</v>
      </c>
      <c r="I32" s="20" t="n">
        <v>5</v>
      </c>
      <c r="J32" s="20" t="n">
        <f aca="false">ROUND(MAX(0,I32-H32)*F32,2)</f>
        <v>1.5</v>
      </c>
      <c r="K32" s="21" t="str">
        <f aca="false">IF(J32&gt;='Scoring Methodology'!$B$34,"Critical",IF(J32&gt;='Scoring Methodology'!$B$35,"High",IF(J32&gt;='Scoring Methodology'!$B$36,"Medium","Low")))</f>
        <v>Medium</v>
      </c>
      <c r="L32" s="19" t="n">
        <v>4.75</v>
      </c>
      <c r="M32" s="20" t="n">
        <f aca="false">ROUND(L32-H32,2)</f>
        <v>0.75</v>
      </c>
      <c r="N32" s="5" t="s">
        <v>251</v>
      </c>
      <c r="O32" s="5" t="s">
        <v>252</v>
      </c>
    </row>
    <row r="33" customFormat="false" ht="30" hidden="false" customHeight="true" outlineLevel="0" collapsed="false">
      <c r="A33" s="4" t="s">
        <v>166</v>
      </c>
      <c r="B33" s="16" t="n">
        <v>3</v>
      </c>
      <c r="C33" s="16" t="n">
        <v>3</v>
      </c>
      <c r="D33" s="16" t="n">
        <v>4</v>
      </c>
      <c r="E33" s="16" t="n">
        <v>3</v>
      </c>
      <c r="F33" s="17" t="n">
        <f aca="false">'Scoring Methodology'!$B$69</f>
        <v>1.25</v>
      </c>
      <c r="G33" s="4" t="s">
        <v>192</v>
      </c>
      <c r="H33" s="17" t="n">
        <f aca="false">ROUND(AVERAGE(B33:E33),2)</f>
        <v>3.25</v>
      </c>
      <c r="I33" s="17" t="n">
        <v>4</v>
      </c>
      <c r="J33" s="17" t="n">
        <f aca="false">ROUND(MAX(0,I33-H33)*F33,2)</f>
        <v>0.94</v>
      </c>
      <c r="K33" s="18" t="str">
        <f aca="false">IF(J33&gt;='Scoring Methodology'!$B$34,"Critical",IF(J33&gt;='Scoring Methodology'!$B$35,"High",IF(J33&gt;='Scoring Methodology'!$B$36,"Medium","Low")))</f>
        <v>Low</v>
      </c>
      <c r="L33" s="16" t="n">
        <v>4.5</v>
      </c>
      <c r="M33" s="17" t="n">
        <f aca="false">ROUND(L33-H33,2)</f>
        <v>1.25</v>
      </c>
      <c r="N33" s="4" t="s">
        <v>253</v>
      </c>
      <c r="O33" s="4" t="s">
        <v>254</v>
      </c>
    </row>
    <row r="34" customFormat="false" ht="30" hidden="false" customHeight="true" outlineLevel="0" collapsed="false">
      <c r="A34" s="5" t="s">
        <v>167</v>
      </c>
      <c r="B34" s="19" t="n">
        <v>1</v>
      </c>
      <c r="C34" s="19" t="n">
        <v>1</v>
      </c>
      <c r="D34" s="19" t="n">
        <v>3</v>
      </c>
      <c r="E34" s="19" t="n">
        <v>1</v>
      </c>
      <c r="F34" s="20" t="n">
        <f aca="false">'Scoring Methodology'!$B$70</f>
        <v>1.25</v>
      </c>
      <c r="G34" s="5" t="s">
        <v>255</v>
      </c>
      <c r="H34" s="20" t="n">
        <f aca="false">ROUND(AVERAGE(B34:E34),2)</f>
        <v>1.5</v>
      </c>
      <c r="I34" s="20" t="n">
        <v>5</v>
      </c>
      <c r="J34" s="20" t="n">
        <f aca="false">ROUND(MAX(0,I34-H34)*F34,2)</f>
        <v>4.38</v>
      </c>
      <c r="K34" s="21" t="str">
        <f aca="false">IF(J34&gt;='Scoring Methodology'!$B$34,"Critical",IF(J34&gt;='Scoring Methodology'!$B$35,"High",IF(J34&gt;='Scoring Methodology'!$B$36,"Medium","Low")))</f>
        <v>High</v>
      </c>
      <c r="L34" s="19" t="n">
        <v>4</v>
      </c>
      <c r="M34" s="20" t="n">
        <f aca="false">ROUND(L34-H34,2)</f>
        <v>2.5</v>
      </c>
      <c r="N34" s="5" t="s">
        <v>256</v>
      </c>
      <c r="O34" s="5" t="s">
        <v>257</v>
      </c>
    </row>
    <row r="35" customFormat="false" ht="30" hidden="false" customHeight="true" outlineLevel="0" collapsed="false">
      <c r="A35" s="4" t="s">
        <v>168</v>
      </c>
      <c r="B35" s="16" t="n">
        <v>3</v>
      </c>
      <c r="C35" s="16" t="n">
        <v>2</v>
      </c>
      <c r="D35" s="16" t="n">
        <v>4</v>
      </c>
      <c r="E35" s="16" t="n">
        <v>3</v>
      </c>
      <c r="F35" s="17" t="n">
        <f aca="false">'Scoring Methodology'!$B$71</f>
        <v>1</v>
      </c>
      <c r="G35" s="4" t="s">
        <v>258</v>
      </c>
      <c r="H35" s="17" t="n">
        <f aca="false">ROUND(AVERAGE(B35:E35),2)</f>
        <v>3</v>
      </c>
      <c r="I35" s="17" t="n">
        <v>5</v>
      </c>
      <c r="J35" s="17" t="n">
        <f aca="false">ROUND(MAX(0,I35-H35)*F35,2)</f>
        <v>2</v>
      </c>
      <c r="K35" s="18" t="str">
        <f aca="false">IF(J35&gt;='Scoring Methodology'!$B$34,"Critical",IF(J35&gt;='Scoring Methodology'!$B$35,"High",IF(J35&gt;='Scoring Methodology'!$B$36,"Medium","Low")))</f>
        <v>Medium</v>
      </c>
      <c r="L35" s="16" t="n">
        <v>4.5</v>
      </c>
      <c r="M35" s="17" t="n">
        <f aca="false">ROUND(L35-H35,2)</f>
        <v>1.5</v>
      </c>
      <c r="N35" s="4" t="s">
        <v>259</v>
      </c>
      <c r="O35" s="4" t="s">
        <v>260</v>
      </c>
    </row>
    <row r="36" customFormat="false" ht="30" hidden="false" customHeight="true" outlineLevel="0" collapsed="false">
      <c r="A36" s="5" t="s">
        <v>169</v>
      </c>
      <c r="B36" s="19" t="n">
        <v>1</v>
      </c>
      <c r="C36" s="19" t="n">
        <v>1</v>
      </c>
      <c r="D36" s="19" t="n">
        <v>2</v>
      </c>
      <c r="E36" s="19" t="n">
        <v>1</v>
      </c>
      <c r="F36" s="20" t="n">
        <f aca="false">'Scoring Methodology'!$B$72</f>
        <v>1.25</v>
      </c>
      <c r="G36" s="5" t="s">
        <v>195</v>
      </c>
      <c r="H36" s="20" t="n">
        <f aca="false">ROUND(AVERAGE(B36:E36),2)</f>
        <v>1.25</v>
      </c>
      <c r="I36" s="20" t="n">
        <v>5</v>
      </c>
      <c r="J36" s="20" t="n">
        <f aca="false">ROUND(MAX(0,I36-H36)*F36,2)</f>
        <v>4.69</v>
      </c>
      <c r="K36" s="21" t="str">
        <f aca="false">IF(J36&gt;='Scoring Methodology'!$B$34,"Critical",IF(J36&gt;='Scoring Methodology'!$B$35,"High",IF(J36&gt;='Scoring Methodology'!$B$36,"Medium","Low")))</f>
        <v>Critical</v>
      </c>
      <c r="L36" s="19" t="n">
        <v>4</v>
      </c>
      <c r="M36" s="20" t="n">
        <f aca="false">ROUND(L36-H36,2)</f>
        <v>2.75</v>
      </c>
      <c r="N36" s="5" t="s">
        <v>261</v>
      </c>
      <c r="O36" s="5" t="s">
        <v>262</v>
      </c>
    </row>
    <row r="37" customFormat="false" ht="30" hidden="false" customHeight="true" outlineLevel="0" collapsed="false">
      <c r="A37" s="4" t="s">
        <v>170</v>
      </c>
      <c r="B37" s="16" t="n">
        <v>2</v>
      </c>
      <c r="C37" s="16" t="n">
        <v>2</v>
      </c>
      <c r="D37" s="16" t="n">
        <v>4</v>
      </c>
      <c r="E37" s="16" t="n">
        <v>2</v>
      </c>
      <c r="F37" s="17" t="n">
        <f aca="false">'Scoring Methodology'!$B$73</f>
        <v>1</v>
      </c>
      <c r="G37" s="4" t="s">
        <v>219</v>
      </c>
      <c r="H37" s="17" t="n">
        <f aca="false">ROUND(AVERAGE(B37:E37),2)</f>
        <v>2.5</v>
      </c>
      <c r="I37" s="17" t="n">
        <v>4</v>
      </c>
      <c r="J37" s="17" t="n">
        <f aca="false">ROUND(MAX(0,I37-H37)*F37,2)</f>
        <v>1.5</v>
      </c>
      <c r="K37" s="18" t="str">
        <f aca="false">IF(J37&gt;='Scoring Methodology'!$B$34,"Critical",IF(J37&gt;='Scoring Methodology'!$B$35,"High",IF(J37&gt;='Scoring Methodology'!$B$36,"Medium","Low")))</f>
        <v>Medium</v>
      </c>
      <c r="L37" s="16" t="n">
        <v>4</v>
      </c>
      <c r="M37" s="17" t="n">
        <f aca="false">ROUND(L37-H37,2)</f>
        <v>1.5</v>
      </c>
      <c r="N37" s="4" t="s">
        <v>263</v>
      </c>
      <c r="O37" s="4" t="s">
        <v>264</v>
      </c>
    </row>
    <row r="38" customFormat="false" ht="30" hidden="false" customHeight="true" outlineLevel="0" collapsed="false">
      <c r="A38" s="5" t="s">
        <v>171</v>
      </c>
      <c r="B38" s="19" t="n">
        <v>3</v>
      </c>
      <c r="C38" s="19" t="n">
        <v>2</v>
      </c>
      <c r="D38" s="19" t="n">
        <v>4</v>
      </c>
      <c r="E38" s="19" t="n">
        <v>3</v>
      </c>
      <c r="F38" s="20" t="n">
        <f aca="false">'Scoring Methodology'!$B$74</f>
        <v>1.25</v>
      </c>
      <c r="G38" s="5" t="s">
        <v>195</v>
      </c>
      <c r="H38" s="20" t="n">
        <f aca="false">ROUND(AVERAGE(B38:E38),2)</f>
        <v>3</v>
      </c>
      <c r="I38" s="20" t="n">
        <v>5</v>
      </c>
      <c r="J38" s="20" t="n">
        <f aca="false">ROUND(MAX(0,I38-H38)*F38,2)</f>
        <v>2.5</v>
      </c>
      <c r="K38" s="21" t="str">
        <f aca="false">IF(J38&gt;='Scoring Methodology'!$B$34,"Critical",IF(J38&gt;='Scoring Methodology'!$B$35,"High",IF(J38&gt;='Scoring Methodology'!$B$36,"Medium","Low")))</f>
        <v>Medium</v>
      </c>
      <c r="L38" s="19" t="n">
        <v>4.5</v>
      </c>
      <c r="M38" s="20" t="n">
        <f aca="false">ROUND(L38-H38,2)</f>
        <v>1.5</v>
      </c>
      <c r="N38" s="5" t="s">
        <v>265</v>
      </c>
      <c r="O38" s="5" t="s">
        <v>266</v>
      </c>
    </row>
    <row r="39" customFormat="false" ht="30" hidden="false" customHeight="true" outlineLevel="0" collapsed="false">
      <c r="A39" s="4" t="s">
        <v>172</v>
      </c>
      <c r="B39" s="16" t="n">
        <v>3</v>
      </c>
      <c r="C39" s="16" t="n">
        <v>3</v>
      </c>
      <c r="D39" s="16" t="n">
        <v>4</v>
      </c>
      <c r="E39" s="16" t="n">
        <v>3</v>
      </c>
      <c r="F39" s="17" t="n">
        <f aca="false">'Scoring Methodology'!$B$75</f>
        <v>1</v>
      </c>
      <c r="G39" s="4" t="s">
        <v>192</v>
      </c>
      <c r="H39" s="17" t="n">
        <f aca="false">ROUND(AVERAGE(B39:E39),2)</f>
        <v>3.25</v>
      </c>
      <c r="I39" s="17" t="n">
        <v>4</v>
      </c>
      <c r="J39" s="17" t="n">
        <f aca="false">ROUND(MAX(0,I39-H39)*F39,2)</f>
        <v>0.75</v>
      </c>
      <c r="K39" s="18" t="str">
        <f aca="false">IF(J39&gt;='Scoring Methodology'!$B$34,"Critical",IF(J39&gt;='Scoring Methodology'!$B$35,"High",IF(J39&gt;='Scoring Methodology'!$B$36,"Medium","Low")))</f>
        <v>Low</v>
      </c>
      <c r="L39" s="16" t="n">
        <v>4.25</v>
      </c>
      <c r="M39" s="17" t="n">
        <f aca="false">ROUND(L39-H39,2)</f>
        <v>1</v>
      </c>
      <c r="N39" s="4" t="s">
        <v>267</v>
      </c>
      <c r="O39" s="4" t="s">
        <v>268</v>
      </c>
    </row>
    <row r="41" customFormat="false" ht="32.8" hidden="false" customHeight="false" outlineLevel="0" collapsed="false">
      <c r="A41" s="14" t="s">
        <v>269</v>
      </c>
      <c r="H41" s="22" t="n">
        <f aca="false">ROUND(AVERAGE(H5:H39),2)</f>
        <v>2.27</v>
      </c>
      <c r="J41" s="22" t="n">
        <f aca="false">ROUND(SUM(J5:J39),2)</f>
        <v>107.87</v>
      </c>
      <c r="L41" s="22" t="n">
        <f aca="false">ROUND(AVERAGE(L5:L39),2)</f>
        <v>4.41</v>
      </c>
      <c r="M41" s="22" t="n">
        <f aca="false">ROUND(L41-H41,2)</f>
        <v>2.14</v>
      </c>
      <c r="N41" s="23" t="s">
        <v>270</v>
      </c>
    </row>
  </sheetData>
  <autoFilter ref="A4:O4"/>
  <conditionalFormatting sqref="B5:E39">
    <cfRule type="colorScale" priority="2">
      <colorScale>
        <cfvo type="num" val="0"/>
        <cfvo type="num" val="2.5"/>
        <cfvo type="num" val="5"/>
        <color rgb="FFF4B7B7"/>
        <color rgb="FFFFE9A8"/>
        <color rgb="FFB7DDBE"/>
      </colorScale>
    </cfRule>
  </conditionalFormatting>
  <conditionalFormatting sqref="H5:I39">
    <cfRule type="colorScale" priority="3">
      <colorScale>
        <cfvo type="num" val="0"/>
        <cfvo type="num" val="2.5"/>
        <cfvo type="num" val="5"/>
        <color rgb="FFF4B7B7"/>
        <color rgb="FFFFE9A8"/>
        <color rgb="FFB7DDBE"/>
      </colorScale>
    </cfRule>
  </conditionalFormatting>
  <conditionalFormatting sqref="L5:L39">
    <cfRule type="colorScale" priority="4">
      <colorScale>
        <cfvo type="num" val="0"/>
        <cfvo type="num" val="2.5"/>
        <cfvo type="num" val="5"/>
        <color rgb="FFF4B7B7"/>
        <color rgb="FFFFE9A8"/>
        <color rgb="FFB7DDBE"/>
      </colorScale>
    </cfRule>
  </conditionalFormatting>
  <conditionalFormatting sqref="J5:J39">
    <cfRule type="colorScale" priority="5">
      <colorScale>
        <cfvo type="num" val="0"/>
        <cfvo type="num" val="1.5"/>
        <cfvo type="num" val="3.5"/>
        <color rgb="FFB7DDBE"/>
        <color rgb="FFFFE9A8"/>
        <color rgb="FFF4B7B7"/>
      </colorScale>
    </cfRule>
  </conditionalFormatting>
  <conditionalFormatting sqref="K5:K39">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271</v>
      </c>
    </row>
    <row r="2" customFormat="false" ht="15" hidden="false" customHeight="false" outlineLevel="0" collapsed="false">
      <c r="A2" s="2" t="s">
        <v>272</v>
      </c>
    </row>
    <row r="4" customFormat="false" ht="30" hidden="false" customHeight="true" outlineLevel="0" collapsed="false">
      <c r="A4" s="3" t="s">
        <v>273</v>
      </c>
      <c r="B4" s="3" t="s">
        <v>131</v>
      </c>
      <c r="C4" s="3" t="s">
        <v>184</v>
      </c>
      <c r="D4" s="3" t="s">
        <v>115</v>
      </c>
      <c r="E4" s="3" t="s">
        <v>274</v>
      </c>
      <c r="F4" s="3" t="s">
        <v>275</v>
      </c>
      <c r="G4" s="3" t="s">
        <v>187</v>
      </c>
      <c r="H4" s="3" t="s">
        <v>276</v>
      </c>
      <c r="I4" s="3" t="s">
        <v>277</v>
      </c>
    </row>
    <row r="5" customFormat="false" ht="57.75" hidden="false" customHeight="true" outlineLevel="0" collapsed="false">
      <c r="A5" s="17" t="n">
        <v>1</v>
      </c>
      <c r="B5" s="4" t="s">
        <v>134</v>
      </c>
      <c r="C5" s="16" t="str">
        <f aca="false">'Gap Assessment'!K5</f>
        <v>Critical</v>
      </c>
      <c r="D5" s="17" t="n">
        <f aca="false">'Gap Assessment'!J5</f>
        <v>5.63</v>
      </c>
      <c r="E5" s="4" t="s">
        <v>278</v>
      </c>
      <c r="F5" s="4" t="s">
        <v>279</v>
      </c>
      <c r="G5" s="4" t="s">
        <v>190</v>
      </c>
      <c r="H5" s="4" t="s">
        <v>280</v>
      </c>
      <c r="I5" s="4" t="s">
        <v>281</v>
      </c>
    </row>
    <row r="6" customFormat="false" ht="57.75" hidden="false" customHeight="true" outlineLevel="0" collapsed="false">
      <c r="A6" s="20" t="n">
        <v>2</v>
      </c>
      <c r="B6" s="5" t="s">
        <v>150</v>
      </c>
      <c r="C6" s="19" t="str">
        <f aca="false">'Gap Assessment'!K18</f>
        <v>Critical</v>
      </c>
      <c r="D6" s="20" t="n">
        <f aca="false">'Gap Assessment'!J18</f>
        <v>5.63</v>
      </c>
      <c r="E6" s="5" t="s">
        <v>282</v>
      </c>
      <c r="F6" s="5" t="s">
        <v>283</v>
      </c>
      <c r="G6" s="5" t="s">
        <v>217</v>
      </c>
      <c r="H6" s="5" t="s">
        <v>284</v>
      </c>
      <c r="I6" s="5" t="s">
        <v>281</v>
      </c>
    </row>
    <row r="7" customFormat="false" ht="57.75" hidden="false" customHeight="true" outlineLevel="0" collapsed="false">
      <c r="A7" s="17" t="n">
        <v>3</v>
      </c>
      <c r="B7" s="4" t="s">
        <v>138</v>
      </c>
      <c r="C7" s="16" t="str">
        <f aca="false">'Gap Assessment'!K7</f>
        <v>Critical</v>
      </c>
      <c r="D7" s="17" t="n">
        <f aca="false">'Gap Assessment'!J7</f>
        <v>4.69</v>
      </c>
      <c r="E7" s="4" t="s">
        <v>285</v>
      </c>
      <c r="F7" s="4" t="s">
        <v>286</v>
      </c>
      <c r="G7" s="4" t="s">
        <v>196</v>
      </c>
      <c r="H7" s="4" t="s">
        <v>284</v>
      </c>
      <c r="I7" s="4" t="s">
        <v>281</v>
      </c>
    </row>
    <row r="8" customFormat="false" ht="57.75" hidden="false" customHeight="true" outlineLevel="0" collapsed="false">
      <c r="A8" s="20" t="n">
        <v>4</v>
      </c>
      <c r="B8" s="5" t="s">
        <v>169</v>
      </c>
      <c r="C8" s="19" t="str">
        <f aca="false">'Gap Assessment'!K36</f>
        <v>Critical</v>
      </c>
      <c r="D8" s="20" t="n">
        <f aca="false">'Gap Assessment'!J36</f>
        <v>4.69</v>
      </c>
      <c r="E8" s="5" t="s">
        <v>287</v>
      </c>
      <c r="F8" s="5" t="s">
        <v>288</v>
      </c>
      <c r="G8" s="5" t="s">
        <v>261</v>
      </c>
      <c r="H8" s="5" t="s">
        <v>289</v>
      </c>
      <c r="I8" s="5" t="s">
        <v>281</v>
      </c>
    </row>
    <row r="9" customFormat="false" ht="57.75" hidden="false" customHeight="true" outlineLevel="0" collapsed="false">
      <c r="A9" s="17" t="n">
        <v>5</v>
      </c>
      <c r="B9" s="4" t="s">
        <v>154</v>
      </c>
      <c r="C9" s="16" t="str">
        <f aca="false">'Gap Assessment'!K22</f>
        <v>High</v>
      </c>
      <c r="D9" s="17" t="n">
        <f aca="false">'Gap Assessment'!J22</f>
        <v>4.38</v>
      </c>
      <c r="E9" s="4" t="s">
        <v>290</v>
      </c>
      <c r="F9" s="4" t="s">
        <v>291</v>
      </c>
      <c r="G9" s="4" t="s">
        <v>227</v>
      </c>
      <c r="H9" s="4" t="s">
        <v>280</v>
      </c>
      <c r="I9" s="4" t="s">
        <v>281</v>
      </c>
    </row>
    <row r="10" customFormat="false" ht="57.75" hidden="false" customHeight="true" outlineLevel="0" collapsed="false">
      <c r="A10" s="20" t="n">
        <v>6</v>
      </c>
      <c r="B10" s="5" t="s">
        <v>167</v>
      </c>
      <c r="C10" s="19" t="str">
        <f aca="false">'Gap Assessment'!K34</f>
        <v>High</v>
      </c>
      <c r="D10" s="20" t="n">
        <f aca="false">'Gap Assessment'!J34</f>
        <v>4.38</v>
      </c>
      <c r="E10" s="5" t="s">
        <v>292</v>
      </c>
      <c r="F10" s="5" t="s">
        <v>293</v>
      </c>
      <c r="G10" s="5" t="s">
        <v>256</v>
      </c>
      <c r="H10" s="5" t="s">
        <v>294</v>
      </c>
      <c r="I10" s="5" t="s">
        <v>281</v>
      </c>
    </row>
    <row r="11" customFormat="false" ht="57.75" hidden="false" customHeight="true" outlineLevel="0" collapsed="false">
      <c r="A11" s="17" t="n">
        <v>7</v>
      </c>
      <c r="B11" s="4" t="s">
        <v>139</v>
      </c>
      <c r="C11" s="16" t="str">
        <f aca="false">'Gap Assessment'!K8</f>
        <v>High</v>
      </c>
      <c r="D11" s="17" t="n">
        <f aca="false">'Gap Assessment'!J8</f>
        <v>3.75</v>
      </c>
      <c r="E11" s="4" t="s">
        <v>295</v>
      </c>
      <c r="F11" s="4" t="s">
        <v>296</v>
      </c>
      <c r="G11" s="4" t="s">
        <v>198</v>
      </c>
      <c r="H11" s="4" t="s">
        <v>280</v>
      </c>
      <c r="I11" s="4" t="s">
        <v>281</v>
      </c>
    </row>
    <row r="12" customFormat="false" ht="57.75" hidden="false" customHeight="true" outlineLevel="0" collapsed="false">
      <c r="A12" s="20" t="n">
        <v>8</v>
      </c>
      <c r="B12" s="5" t="s">
        <v>140</v>
      </c>
      <c r="C12" s="19" t="str">
        <f aca="false">'Gap Assessment'!K9</f>
        <v>High</v>
      </c>
      <c r="D12" s="20" t="n">
        <f aca="false">'Gap Assessment'!J9</f>
        <v>3.75</v>
      </c>
      <c r="E12" s="5" t="s">
        <v>297</v>
      </c>
      <c r="F12" s="5" t="s">
        <v>298</v>
      </c>
      <c r="G12" s="5" t="s">
        <v>200</v>
      </c>
      <c r="H12" s="5" t="s">
        <v>280</v>
      </c>
      <c r="I12" s="5" t="s">
        <v>281</v>
      </c>
    </row>
    <row r="13" customFormat="false" ht="57.75" hidden="false" customHeight="true" outlineLevel="0" collapsed="false">
      <c r="A13" s="17" t="n">
        <v>9</v>
      </c>
      <c r="B13" s="4" t="s">
        <v>142</v>
      </c>
      <c r="C13" s="16" t="str">
        <f aca="false">'Gap Assessment'!K11</f>
        <v>High</v>
      </c>
      <c r="D13" s="17" t="n">
        <f aca="false">'Gap Assessment'!J11</f>
        <v>3.75</v>
      </c>
      <c r="E13" s="4" t="s">
        <v>299</v>
      </c>
      <c r="F13" s="4" t="s">
        <v>300</v>
      </c>
      <c r="G13" s="4" t="s">
        <v>203</v>
      </c>
      <c r="H13" s="4" t="s">
        <v>280</v>
      </c>
      <c r="I13" s="4" t="s">
        <v>281</v>
      </c>
    </row>
    <row r="14" customFormat="false" ht="57.75" hidden="false" customHeight="true" outlineLevel="0" collapsed="false">
      <c r="A14" s="20" t="n">
        <v>10</v>
      </c>
      <c r="B14" s="5" t="s">
        <v>148</v>
      </c>
      <c r="C14" s="19" t="str">
        <f aca="false">'Gap Assessment'!K16</f>
        <v>High</v>
      </c>
      <c r="D14" s="20" t="n">
        <f aca="false">'Gap Assessment'!J16</f>
        <v>3.75</v>
      </c>
      <c r="E14" s="5" t="s">
        <v>301</v>
      </c>
      <c r="F14" s="5" t="s">
        <v>302</v>
      </c>
      <c r="G14" s="5" t="s">
        <v>214</v>
      </c>
      <c r="H14" s="5" t="s">
        <v>280</v>
      </c>
      <c r="I14" s="5" t="s">
        <v>281</v>
      </c>
    </row>
    <row r="15" customFormat="false" ht="57.75" hidden="false" customHeight="true" outlineLevel="0" collapsed="false">
      <c r="A15" s="17" t="n">
        <v>11</v>
      </c>
      <c r="B15" s="4" t="s">
        <v>149</v>
      </c>
      <c r="C15" s="16" t="str">
        <f aca="false">'Gap Assessment'!K17</f>
        <v>High</v>
      </c>
      <c r="D15" s="17" t="n">
        <f aca="false">'Gap Assessment'!J17</f>
        <v>3.75</v>
      </c>
      <c r="E15" s="4" t="s">
        <v>303</v>
      </c>
      <c r="F15" s="4" t="s">
        <v>304</v>
      </c>
      <c r="G15" s="4" t="s">
        <v>215</v>
      </c>
      <c r="H15" s="4" t="s">
        <v>284</v>
      </c>
      <c r="I15" s="4" t="s">
        <v>281</v>
      </c>
    </row>
    <row r="16" customFormat="false" ht="57.75" hidden="false" customHeight="true" outlineLevel="0" collapsed="false">
      <c r="A16" s="20" t="n">
        <v>12</v>
      </c>
      <c r="B16" s="5" t="s">
        <v>155</v>
      </c>
      <c r="C16" s="19" t="str">
        <f aca="false">'Gap Assessment'!K23</f>
        <v>High</v>
      </c>
      <c r="D16" s="20" t="n">
        <f aca="false">'Gap Assessment'!J23</f>
        <v>3.75</v>
      </c>
      <c r="E16" s="5" t="s">
        <v>305</v>
      </c>
      <c r="F16" s="5" t="s">
        <v>306</v>
      </c>
      <c r="G16" s="5" t="s">
        <v>229</v>
      </c>
      <c r="H16" s="5" t="s">
        <v>280</v>
      </c>
      <c r="I16" s="5" t="s">
        <v>281</v>
      </c>
    </row>
    <row r="17" customFormat="false" ht="57.75" hidden="false" customHeight="true" outlineLevel="0" collapsed="false">
      <c r="A17" s="17" t="n">
        <v>13</v>
      </c>
      <c r="B17" s="4" t="s">
        <v>152</v>
      </c>
      <c r="C17" s="16" t="str">
        <f aca="false">'Gap Assessment'!K20</f>
        <v>High</v>
      </c>
      <c r="D17" s="17" t="n">
        <f aca="false">'Gap Assessment'!J20</f>
        <v>3.5</v>
      </c>
      <c r="E17" s="4" t="s">
        <v>307</v>
      </c>
      <c r="F17" s="4" t="s">
        <v>308</v>
      </c>
      <c r="G17" s="4" t="s">
        <v>222</v>
      </c>
      <c r="H17" s="4" t="s">
        <v>309</v>
      </c>
      <c r="I17" s="4" t="s">
        <v>281</v>
      </c>
    </row>
    <row r="18" customFormat="false" ht="57.75" hidden="false" customHeight="true" outlineLevel="0" collapsed="false">
      <c r="A18" s="20" t="n">
        <v>14</v>
      </c>
      <c r="B18" s="5" t="s">
        <v>136</v>
      </c>
      <c r="C18" s="19" t="str">
        <f aca="false">'Gap Assessment'!K6</f>
        <v>High</v>
      </c>
      <c r="D18" s="20" t="n">
        <f aca="false">'Gap Assessment'!J6</f>
        <v>3.44</v>
      </c>
      <c r="E18" s="5" t="s">
        <v>310</v>
      </c>
      <c r="F18" s="5" t="s">
        <v>311</v>
      </c>
      <c r="G18" s="5" t="s">
        <v>193</v>
      </c>
      <c r="H18" s="5" t="s">
        <v>280</v>
      </c>
      <c r="I18" s="5" t="s">
        <v>281</v>
      </c>
    </row>
    <row r="19" customFormat="false" ht="57.75" hidden="false" customHeight="true" outlineLevel="0" collapsed="false">
      <c r="A19" s="17" t="n">
        <v>15</v>
      </c>
      <c r="B19" s="4" t="s">
        <v>156</v>
      </c>
      <c r="C19" s="16" t="str">
        <f aca="false">'Gap Assessment'!K24</f>
        <v>High</v>
      </c>
      <c r="D19" s="17" t="n">
        <f aca="false">'Gap Assessment'!J24</f>
        <v>3.44</v>
      </c>
      <c r="E19" s="4" t="s">
        <v>312</v>
      </c>
      <c r="F19" s="4" t="s">
        <v>313</v>
      </c>
      <c r="G19" s="4" t="s">
        <v>232</v>
      </c>
      <c r="H19" s="4" t="s">
        <v>314</v>
      </c>
      <c r="I19" s="4" t="s">
        <v>281</v>
      </c>
    </row>
    <row r="20" customFormat="false" ht="57.75" hidden="false" customHeight="true" outlineLevel="0" collapsed="false">
      <c r="A20" s="20" t="n">
        <v>16</v>
      </c>
      <c r="B20" s="5" t="s">
        <v>162</v>
      </c>
      <c r="C20" s="19" t="str">
        <f aca="false">'Gap Assessment'!K29</f>
        <v>High</v>
      </c>
      <c r="D20" s="20" t="n">
        <f aca="false">'Gap Assessment'!J29</f>
        <v>3.44</v>
      </c>
      <c r="E20" s="5" t="s">
        <v>315</v>
      </c>
      <c r="F20" s="5" t="s">
        <v>316</v>
      </c>
      <c r="G20" s="5" t="s">
        <v>244</v>
      </c>
      <c r="H20" s="5" t="s">
        <v>280</v>
      </c>
      <c r="I20" s="5" t="s">
        <v>281</v>
      </c>
    </row>
    <row r="21" customFormat="false" ht="57.75" hidden="false" customHeight="true" outlineLevel="0" collapsed="false">
      <c r="A21" s="17" t="n">
        <v>17</v>
      </c>
      <c r="B21" s="4" t="s">
        <v>141</v>
      </c>
      <c r="C21" s="16" t="str">
        <f aca="false">'Gap Assessment'!K10</f>
        <v>High</v>
      </c>
      <c r="D21" s="17" t="n">
        <f aca="false">'Gap Assessment'!J10</f>
        <v>3.13</v>
      </c>
      <c r="E21" s="4" t="s">
        <v>317</v>
      </c>
      <c r="F21" s="4" t="s">
        <v>318</v>
      </c>
      <c r="G21" s="4" t="s">
        <v>202</v>
      </c>
      <c r="H21" s="4" t="s">
        <v>319</v>
      </c>
      <c r="I21" s="4" t="s">
        <v>281</v>
      </c>
    </row>
    <row r="22" customFormat="false" ht="57.75" hidden="false" customHeight="true" outlineLevel="0" collapsed="false">
      <c r="A22" s="20" t="n">
        <v>18</v>
      </c>
      <c r="B22" s="5" t="s">
        <v>145</v>
      </c>
      <c r="C22" s="19" t="str">
        <f aca="false">'Gap Assessment'!K13</f>
        <v>High</v>
      </c>
      <c r="D22" s="20" t="n">
        <f aca="false">'Gap Assessment'!J13</f>
        <v>3.13</v>
      </c>
      <c r="E22" s="5" t="s">
        <v>320</v>
      </c>
      <c r="F22" s="5" t="s">
        <v>321</v>
      </c>
      <c r="G22" s="5" t="s">
        <v>206</v>
      </c>
      <c r="H22" s="5" t="s">
        <v>280</v>
      </c>
      <c r="I22" s="5" t="s">
        <v>281</v>
      </c>
    </row>
    <row r="23" customFormat="false" ht="57.75" hidden="false" customHeight="true" outlineLevel="0" collapsed="false">
      <c r="A23" s="17" t="n">
        <v>19</v>
      </c>
      <c r="B23" s="4" t="s">
        <v>153</v>
      </c>
      <c r="C23" s="16" t="str">
        <f aca="false">'Gap Assessment'!K21</f>
        <v>High</v>
      </c>
      <c r="D23" s="17" t="n">
        <f aca="false">'Gap Assessment'!J21</f>
        <v>3.13</v>
      </c>
      <c r="E23" s="4" t="s">
        <v>322</v>
      </c>
      <c r="F23" s="4" t="s">
        <v>323</v>
      </c>
      <c r="G23" s="4" t="s">
        <v>224</v>
      </c>
      <c r="H23" s="4" t="s">
        <v>280</v>
      </c>
      <c r="I23" s="4" t="s">
        <v>281</v>
      </c>
    </row>
    <row r="24" customFormat="false" ht="57.75" hidden="false" customHeight="true" outlineLevel="0" collapsed="false">
      <c r="A24" s="20" t="n">
        <v>20</v>
      </c>
      <c r="B24" s="5" t="s">
        <v>160</v>
      </c>
      <c r="C24" s="19" t="str">
        <f aca="false">'Gap Assessment'!K27</f>
        <v>High</v>
      </c>
      <c r="D24" s="20" t="n">
        <f aca="false">'Gap Assessment'!J27</f>
        <v>3.13</v>
      </c>
      <c r="E24" s="5" t="s">
        <v>324</v>
      </c>
      <c r="F24" s="5" t="s">
        <v>325</v>
      </c>
      <c r="G24" s="5" t="s">
        <v>239</v>
      </c>
      <c r="H24" s="5" t="s">
        <v>326</v>
      </c>
      <c r="I24" s="5" t="s">
        <v>281</v>
      </c>
    </row>
    <row r="25" customFormat="false" ht="57.75" hidden="false" customHeight="true" outlineLevel="0" collapsed="false">
      <c r="A25" s="17" t="n">
        <v>21</v>
      </c>
      <c r="B25" s="4" t="s">
        <v>157</v>
      </c>
      <c r="C25" s="16" t="str">
        <f aca="false">'Gap Assessment'!K25</f>
        <v>High</v>
      </c>
      <c r="D25" s="17" t="n">
        <f aca="false">'Gap Assessment'!J25</f>
        <v>3</v>
      </c>
      <c r="E25" s="4" t="s">
        <v>327</v>
      </c>
      <c r="F25" s="4" t="s">
        <v>328</v>
      </c>
      <c r="G25" s="4" t="s">
        <v>234</v>
      </c>
      <c r="H25" s="4" t="s">
        <v>280</v>
      </c>
      <c r="I25" s="4" t="s">
        <v>281</v>
      </c>
    </row>
    <row r="26" customFormat="false" ht="57.75" hidden="false" customHeight="true" outlineLevel="0" collapsed="false">
      <c r="A26" s="20" t="n">
        <v>22</v>
      </c>
      <c r="B26" s="5" t="s">
        <v>146</v>
      </c>
      <c r="C26" s="19" t="str">
        <f aca="false">'Gap Assessment'!K14</f>
        <v>Medium</v>
      </c>
      <c r="D26" s="20" t="n">
        <f aca="false">'Gap Assessment'!J14</f>
        <v>2.81</v>
      </c>
      <c r="E26" s="5" t="s">
        <v>329</v>
      </c>
      <c r="F26" s="5" t="s">
        <v>330</v>
      </c>
      <c r="G26" s="5" t="s">
        <v>209</v>
      </c>
      <c r="H26" s="5" t="s">
        <v>331</v>
      </c>
      <c r="I26" s="5" t="s">
        <v>281</v>
      </c>
    </row>
    <row r="27" customFormat="false" ht="57.75" hidden="false" customHeight="true" outlineLevel="0" collapsed="false">
      <c r="A27" s="17" t="n">
        <v>23</v>
      </c>
      <c r="B27" s="4" t="s">
        <v>147</v>
      </c>
      <c r="C27" s="16" t="str">
        <f aca="false">'Gap Assessment'!K15</f>
        <v>Medium</v>
      </c>
      <c r="D27" s="17" t="n">
        <f aca="false">'Gap Assessment'!J15</f>
        <v>2.75</v>
      </c>
      <c r="E27" s="4" t="s">
        <v>332</v>
      </c>
      <c r="F27" s="4" t="s">
        <v>333</v>
      </c>
      <c r="G27" s="4" t="s">
        <v>212</v>
      </c>
      <c r="H27" s="4" t="s">
        <v>280</v>
      </c>
      <c r="I27" s="4" t="s">
        <v>281</v>
      </c>
    </row>
    <row r="28" customFormat="false" ht="57.75" hidden="false" customHeight="true" outlineLevel="0" collapsed="false">
      <c r="A28" s="20" t="n">
        <v>24</v>
      </c>
      <c r="B28" s="5" t="s">
        <v>151</v>
      </c>
      <c r="C28" s="19" t="str">
        <f aca="false">'Gap Assessment'!K19</f>
        <v>Medium</v>
      </c>
      <c r="D28" s="20" t="n">
        <f aca="false">'Gap Assessment'!J19</f>
        <v>2.5</v>
      </c>
      <c r="E28" s="5" t="s">
        <v>334</v>
      </c>
      <c r="F28" s="5" t="s">
        <v>335</v>
      </c>
      <c r="G28" s="5" t="s">
        <v>220</v>
      </c>
      <c r="H28" s="5" t="s">
        <v>280</v>
      </c>
      <c r="I28" s="5" t="s">
        <v>281</v>
      </c>
    </row>
    <row r="29" customFormat="false" ht="57.75" hidden="false" customHeight="true" outlineLevel="0" collapsed="false">
      <c r="A29" s="17" t="n">
        <v>25</v>
      </c>
      <c r="B29" s="4" t="s">
        <v>171</v>
      </c>
      <c r="C29" s="16" t="str">
        <f aca="false">'Gap Assessment'!K38</f>
        <v>Medium</v>
      </c>
      <c r="D29" s="17" t="n">
        <f aca="false">'Gap Assessment'!J38</f>
        <v>2.5</v>
      </c>
      <c r="E29" s="4" t="s">
        <v>336</v>
      </c>
      <c r="F29" s="4" t="s">
        <v>337</v>
      </c>
      <c r="G29" s="4" t="s">
        <v>265</v>
      </c>
      <c r="H29" s="4" t="s">
        <v>338</v>
      </c>
      <c r="I29" s="4" t="s">
        <v>281</v>
      </c>
    </row>
    <row r="30" customFormat="false" ht="57.75" hidden="false" customHeight="true" outlineLevel="0" collapsed="false">
      <c r="A30" s="20" t="n">
        <v>26</v>
      </c>
      <c r="B30" s="5" t="s">
        <v>164</v>
      </c>
      <c r="C30" s="19" t="str">
        <f aca="false">'Gap Assessment'!K31</f>
        <v>Medium</v>
      </c>
      <c r="D30" s="20" t="n">
        <f aca="false">'Gap Assessment'!J31</f>
        <v>2.19</v>
      </c>
      <c r="E30" s="5" t="s">
        <v>339</v>
      </c>
      <c r="F30" s="5" t="s">
        <v>340</v>
      </c>
      <c r="G30" s="5" t="s">
        <v>249</v>
      </c>
      <c r="H30" s="5" t="s">
        <v>280</v>
      </c>
      <c r="I30" s="5" t="s">
        <v>281</v>
      </c>
    </row>
    <row r="31" customFormat="false" ht="57.75" hidden="false" customHeight="true" outlineLevel="0" collapsed="false">
      <c r="A31" s="17" t="n">
        <v>27</v>
      </c>
      <c r="B31" s="4" t="s">
        <v>158</v>
      </c>
      <c r="C31" s="16" t="str">
        <f aca="false">'Gap Assessment'!K26</f>
        <v>Medium</v>
      </c>
      <c r="D31" s="17" t="n">
        <f aca="false">'Gap Assessment'!J26</f>
        <v>2.06</v>
      </c>
      <c r="E31" s="4" t="s">
        <v>341</v>
      </c>
      <c r="F31" s="4" t="s">
        <v>342</v>
      </c>
      <c r="G31" s="4" t="s">
        <v>236</v>
      </c>
      <c r="H31" s="4" t="s">
        <v>280</v>
      </c>
      <c r="I31" s="4" t="s">
        <v>281</v>
      </c>
    </row>
    <row r="32" customFormat="false" ht="57.75" hidden="false" customHeight="true" outlineLevel="0" collapsed="false">
      <c r="A32" s="20" t="n">
        <v>28</v>
      </c>
      <c r="B32" s="5" t="s">
        <v>143</v>
      </c>
      <c r="C32" s="19" t="str">
        <f aca="false">'Gap Assessment'!K12</f>
        <v>Medium</v>
      </c>
      <c r="D32" s="20" t="n">
        <f aca="false">'Gap Assessment'!J12</f>
        <v>2</v>
      </c>
      <c r="E32" s="5" t="s">
        <v>343</v>
      </c>
      <c r="F32" s="5" t="s">
        <v>344</v>
      </c>
      <c r="G32" s="5" t="s">
        <v>204</v>
      </c>
      <c r="H32" s="5" t="s">
        <v>280</v>
      </c>
      <c r="I32" s="5" t="s">
        <v>281</v>
      </c>
    </row>
    <row r="33" customFormat="false" ht="57.75" hidden="false" customHeight="true" outlineLevel="0" collapsed="false">
      <c r="A33" s="17" t="n">
        <v>29</v>
      </c>
      <c r="B33" s="4" t="s">
        <v>161</v>
      </c>
      <c r="C33" s="16" t="str">
        <f aca="false">'Gap Assessment'!K28</f>
        <v>Medium</v>
      </c>
      <c r="D33" s="17" t="n">
        <f aca="false">'Gap Assessment'!J28</f>
        <v>2</v>
      </c>
      <c r="E33" s="4" t="s">
        <v>345</v>
      </c>
      <c r="F33" s="4" t="s">
        <v>346</v>
      </c>
      <c r="G33" s="4" t="s">
        <v>242</v>
      </c>
      <c r="H33" s="4" t="s">
        <v>347</v>
      </c>
      <c r="I33" s="4" t="s">
        <v>281</v>
      </c>
    </row>
    <row r="34" customFormat="false" ht="57.75" hidden="false" customHeight="true" outlineLevel="0" collapsed="false">
      <c r="A34" s="20" t="n">
        <v>30</v>
      </c>
      <c r="B34" s="5" t="s">
        <v>168</v>
      </c>
      <c r="C34" s="19" t="str">
        <f aca="false">'Gap Assessment'!K35</f>
        <v>Medium</v>
      </c>
      <c r="D34" s="20" t="n">
        <f aca="false">'Gap Assessment'!J35</f>
        <v>2</v>
      </c>
      <c r="E34" s="5" t="s">
        <v>348</v>
      </c>
      <c r="F34" s="5" t="s">
        <v>349</v>
      </c>
      <c r="G34" s="5" t="s">
        <v>259</v>
      </c>
      <c r="H34" s="5" t="s">
        <v>284</v>
      </c>
      <c r="I34" s="5" t="s">
        <v>281</v>
      </c>
    </row>
    <row r="35" customFormat="false" ht="57.75" hidden="false" customHeight="true" outlineLevel="0" collapsed="false">
      <c r="A35" s="17" t="n">
        <v>31</v>
      </c>
      <c r="B35" s="4" t="s">
        <v>165</v>
      </c>
      <c r="C35" s="16" t="str">
        <f aca="false">'Gap Assessment'!K32</f>
        <v>Medium</v>
      </c>
      <c r="D35" s="17" t="n">
        <f aca="false">'Gap Assessment'!J32</f>
        <v>1.5</v>
      </c>
      <c r="E35" s="4" t="s">
        <v>350</v>
      </c>
      <c r="F35" s="4" t="s">
        <v>351</v>
      </c>
      <c r="G35" s="4" t="s">
        <v>251</v>
      </c>
      <c r="H35" s="4" t="s">
        <v>352</v>
      </c>
      <c r="I35" s="4" t="s">
        <v>281</v>
      </c>
    </row>
    <row r="36" customFormat="false" ht="57.75" hidden="false" customHeight="true" outlineLevel="0" collapsed="false">
      <c r="A36" s="20" t="n">
        <v>32</v>
      </c>
      <c r="B36" s="5" t="s">
        <v>170</v>
      </c>
      <c r="C36" s="19" t="str">
        <f aca="false">'Gap Assessment'!K37</f>
        <v>Medium</v>
      </c>
      <c r="D36" s="20" t="n">
        <f aca="false">'Gap Assessment'!J37</f>
        <v>1.5</v>
      </c>
      <c r="E36" s="5" t="s">
        <v>353</v>
      </c>
      <c r="F36" s="5" t="s">
        <v>354</v>
      </c>
      <c r="G36" s="5" t="s">
        <v>263</v>
      </c>
      <c r="H36" s="5" t="s">
        <v>319</v>
      </c>
      <c r="I36" s="5" t="s">
        <v>281</v>
      </c>
    </row>
    <row r="37" customFormat="false" ht="57.75" hidden="false" customHeight="true" outlineLevel="0" collapsed="false">
      <c r="A37" s="17" t="n">
        <v>33</v>
      </c>
      <c r="B37" s="4" t="s">
        <v>163</v>
      </c>
      <c r="C37" s="16" t="str">
        <f aca="false">'Gap Assessment'!K30</f>
        <v>Low</v>
      </c>
      <c r="D37" s="17" t="n">
        <f aca="false">'Gap Assessment'!J30</f>
        <v>1.13</v>
      </c>
      <c r="E37" s="4" t="s">
        <v>355</v>
      </c>
      <c r="F37" s="4" t="s">
        <v>356</v>
      </c>
      <c r="G37" s="4" t="s">
        <v>246</v>
      </c>
      <c r="H37" s="4" t="s">
        <v>289</v>
      </c>
      <c r="I37" s="4" t="s">
        <v>281</v>
      </c>
    </row>
    <row r="38" customFormat="false" ht="57.75" hidden="false" customHeight="true" outlineLevel="0" collapsed="false">
      <c r="A38" s="20" t="n">
        <v>34</v>
      </c>
      <c r="B38" s="5" t="s">
        <v>166</v>
      </c>
      <c r="C38" s="19" t="str">
        <f aca="false">'Gap Assessment'!K33</f>
        <v>Low</v>
      </c>
      <c r="D38" s="20" t="n">
        <f aca="false">'Gap Assessment'!J33</f>
        <v>0.94</v>
      </c>
      <c r="E38" s="5" t="s">
        <v>357</v>
      </c>
      <c r="F38" s="5" t="s">
        <v>358</v>
      </c>
      <c r="G38" s="5" t="s">
        <v>253</v>
      </c>
      <c r="H38" s="5" t="s">
        <v>359</v>
      </c>
      <c r="I38" s="5" t="s">
        <v>281</v>
      </c>
    </row>
    <row r="39" customFormat="false" ht="57.75" hidden="false" customHeight="true" outlineLevel="0" collapsed="false">
      <c r="A39" s="17" t="n">
        <v>35</v>
      </c>
      <c r="B39" s="4" t="s">
        <v>172</v>
      </c>
      <c r="C39" s="16" t="str">
        <f aca="false">'Gap Assessment'!K39</f>
        <v>Low</v>
      </c>
      <c r="D39" s="17" t="n">
        <f aca="false">'Gap Assessment'!J39</f>
        <v>0.75</v>
      </c>
      <c r="E39" s="4" t="s">
        <v>360</v>
      </c>
      <c r="F39" s="4" t="s">
        <v>361</v>
      </c>
      <c r="G39" s="4" t="s">
        <v>267</v>
      </c>
      <c r="H39" s="4" t="s">
        <v>319</v>
      </c>
      <c r="I39" s="4" t="s">
        <v>281</v>
      </c>
    </row>
  </sheetData>
  <autoFilter ref="A4:I4"/>
  <conditionalFormatting sqref="C5:C39">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9">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362</v>
      </c>
    </row>
    <row r="2" customFormat="false" ht="15" hidden="false" customHeight="false" outlineLevel="0" collapsed="false">
      <c r="A2" s="2" t="s">
        <v>363</v>
      </c>
    </row>
    <row r="4" customFormat="false" ht="30" hidden="false" customHeight="true" outlineLevel="0" collapsed="false">
      <c r="A4" s="3" t="s">
        <v>131</v>
      </c>
      <c r="B4" s="3" t="s">
        <v>364</v>
      </c>
      <c r="C4" s="3" t="s">
        <v>365</v>
      </c>
      <c r="D4" s="3" t="s">
        <v>195</v>
      </c>
      <c r="E4" s="3" t="s">
        <v>192</v>
      </c>
      <c r="F4" s="3" t="s">
        <v>366</v>
      </c>
      <c r="G4" s="3" t="s">
        <v>367</v>
      </c>
      <c r="H4" s="3" t="s">
        <v>248</v>
      </c>
      <c r="I4" s="3" t="s">
        <v>368</v>
      </c>
      <c r="J4" s="3" t="s">
        <v>369</v>
      </c>
    </row>
    <row r="5" customFormat="false" ht="75.75" hidden="false" customHeight="true" outlineLevel="0" collapsed="false">
      <c r="A5" s="4" t="s">
        <v>370</v>
      </c>
      <c r="B5" s="4" t="s">
        <v>371</v>
      </c>
      <c r="C5" s="4" t="s">
        <v>372</v>
      </c>
      <c r="D5" s="4" t="s">
        <v>373</v>
      </c>
      <c r="E5" s="4" t="s">
        <v>374</v>
      </c>
      <c r="F5" s="4" t="s">
        <v>375</v>
      </c>
      <c r="G5" s="4" t="s">
        <v>376</v>
      </c>
      <c r="H5" s="4" t="s">
        <v>377</v>
      </c>
      <c r="I5" s="4" t="s">
        <v>378</v>
      </c>
      <c r="J5" s="4" t="s">
        <v>379</v>
      </c>
    </row>
    <row r="6" customFormat="false" ht="75.75" hidden="false" customHeight="true" outlineLevel="0" collapsed="false">
      <c r="A6" s="5" t="s">
        <v>380</v>
      </c>
      <c r="B6" s="5" t="s">
        <v>381</v>
      </c>
      <c r="C6" s="5" t="s">
        <v>382</v>
      </c>
      <c r="D6" s="5" t="s">
        <v>383</v>
      </c>
      <c r="E6" s="5" t="s">
        <v>384</v>
      </c>
      <c r="F6" s="5" t="s">
        <v>385</v>
      </c>
      <c r="G6" s="5" t="s">
        <v>386</v>
      </c>
      <c r="H6" s="5" t="s">
        <v>387</v>
      </c>
      <c r="I6" s="5" t="s">
        <v>388</v>
      </c>
      <c r="J6" s="5" t="s">
        <v>389</v>
      </c>
    </row>
    <row r="7" customFormat="false" ht="75.75" hidden="false" customHeight="true" outlineLevel="0" collapsed="false">
      <c r="A7" s="4" t="s">
        <v>390</v>
      </c>
      <c r="B7" s="4" t="s">
        <v>391</v>
      </c>
      <c r="C7" s="4" t="s">
        <v>392</v>
      </c>
      <c r="D7" s="4" t="s">
        <v>393</v>
      </c>
      <c r="E7" s="4" t="s">
        <v>394</v>
      </c>
      <c r="F7" s="4" t="s">
        <v>395</v>
      </c>
      <c r="G7" s="4" t="s">
        <v>395</v>
      </c>
      <c r="H7" s="4" t="s">
        <v>391</v>
      </c>
      <c r="I7" s="4" t="s">
        <v>391</v>
      </c>
      <c r="J7" s="4" t="s">
        <v>396</v>
      </c>
    </row>
    <row r="8" customFormat="false" ht="75.75" hidden="false" customHeight="true" outlineLevel="0" collapsed="false">
      <c r="A8" s="5" t="s">
        <v>397</v>
      </c>
      <c r="B8" s="5" t="s">
        <v>398</v>
      </c>
      <c r="C8" s="5" t="s">
        <v>399</v>
      </c>
      <c r="D8" s="5" t="s">
        <v>400</v>
      </c>
      <c r="E8" s="5" t="s">
        <v>401</v>
      </c>
      <c r="F8" s="5" t="s">
        <v>402</v>
      </c>
      <c r="G8" s="5" t="s">
        <v>403</v>
      </c>
      <c r="H8" s="5" t="s">
        <v>404</v>
      </c>
      <c r="I8" s="5" t="s">
        <v>404</v>
      </c>
      <c r="J8" s="5" t="s">
        <v>405</v>
      </c>
    </row>
    <row r="9" customFormat="false" ht="75.75" hidden="false" customHeight="true" outlineLevel="0" collapsed="false">
      <c r="A9" s="4" t="s">
        <v>406</v>
      </c>
      <c r="B9" s="4" t="s">
        <v>407</v>
      </c>
      <c r="C9" s="4" t="s">
        <v>408</v>
      </c>
      <c r="D9" s="4" t="s">
        <v>409</v>
      </c>
      <c r="E9" s="4" t="s">
        <v>410</v>
      </c>
      <c r="F9" s="4" t="s">
        <v>411</v>
      </c>
      <c r="G9" s="4" t="s">
        <v>412</v>
      </c>
      <c r="H9" s="4" t="s">
        <v>413</v>
      </c>
      <c r="I9" s="4" t="s">
        <v>414</v>
      </c>
      <c r="J9" s="4" t="s">
        <v>415</v>
      </c>
    </row>
    <row r="10" customFormat="false" ht="75.75" hidden="false" customHeight="true" outlineLevel="0" collapsed="false">
      <c r="A10" s="5" t="s">
        <v>416</v>
      </c>
      <c r="B10" s="5" t="s">
        <v>417</v>
      </c>
      <c r="C10" s="5" t="s">
        <v>418</v>
      </c>
      <c r="D10" s="5" t="s">
        <v>419</v>
      </c>
      <c r="E10" s="5" t="s">
        <v>420</v>
      </c>
      <c r="F10" s="5" t="s">
        <v>421</v>
      </c>
      <c r="G10" s="5" t="s">
        <v>412</v>
      </c>
      <c r="H10" s="5" t="s">
        <v>391</v>
      </c>
      <c r="I10" s="5" t="s">
        <v>422</v>
      </c>
      <c r="J10" s="5" t="s">
        <v>423</v>
      </c>
    </row>
    <row r="11" customFormat="false" ht="75.75" hidden="false" customHeight="true" outlineLevel="0" collapsed="false">
      <c r="A11" s="4" t="s">
        <v>138</v>
      </c>
      <c r="B11" s="4" t="s">
        <v>424</v>
      </c>
      <c r="C11" s="4" t="s">
        <v>425</v>
      </c>
      <c r="D11" s="4" t="s">
        <v>426</v>
      </c>
      <c r="E11" s="4" t="s">
        <v>427</v>
      </c>
      <c r="F11" s="4" t="s">
        <v>428</v>
      </c>
      <c r="G11" s="4" t="s">
        <v>429</v>
      </c>
      <c r="H11" s="4" t="s">
        <v>391</v>
      </c>
      <c r="I11" s="4" t="s">
        <v>430</v>
      </c>
      <c r="J11" s="4" t="s">
        <v>431</v>
      </c>
    </row>
    <row r="12" customFormat="false" ht="75.75" hidden="false" customHeight="true" outlineLevel="0" collapsed="false">
      <c r="A12" s="5" t="s">
        <v>432</v>
      </c>
      <c r="B12" s="5" t="s">
        <v>433</v>
      </c>
      <c r="C12" s="5" t="s">
        <v>434</v>
      </c>
      <c r="D12" s="5" t="s">
        <v>435</v>
      </c>
      <c r="E12" s="5" t="s">
        <v>436</v>
      </c>
      <c r="F12" s="5" t="s">
        <v>437</v>
      </c>
      <c r="G12" s="5" t="s">
        <v>438</v>
      </c>
      <c r="H12" s="5" t="s">
        <v>391</v>
      </c>
      <c r="I12" s="5" t="s">
        <v>439</v>
      </c>
      <c r="J12" s="5" t="s">
        <v>440</v>
      </c>
    </row>
    <row r="13" customFormat="false" ht="75.75" hidden="false" customHeight="true" outlineLevel="0" collapsed="false">
      <c r="A13" s="4" t="s">
        <v>441</v>
      </c>
      <c r="B13" s="4" t="s">
        <v>442</v>
      </c>
      <c r="C13" s="4" t="s">
        <v>443</v>
      </c>
      <c r="D13" s="4" t="s">
        <v>444</v>
      </c>
      <c r="E13" s="4" t="s">
        <v>445</v>
      </c>
      <c r="F13" s="4" t="s">
        <v>446</v>
      </c>
      <c r="G13" s="4" t="s">
        <v>447</v>
      </c>
      <c r="H13" s="4" t="s">
        <v>448</v>
      </c>
      <c r="I13" s="4" t="s">
        <v>449</v>
      </c>
      <c r="J13" s="4" t="s">
        <v>450</v>
      </c>
    </row>
    <row r="14" customFormat="false" ht="75.75" hidden="false" customHeight="true" outlineLevel="0" collapsed="false">
      <c r="A14" s="5" t="s">
        <v>145</v>
      </c>
      <c r="B14" s="5" t="s">
        <v>451</v>
      </c>
      <c r="C14" s="5" t="s">
        <v>452</v>
      </c>
      <c r="D14" s="5" t="s">
        <v>453</v>
      </c>
      <c r="E14" s="5" t="s">
        <v>454</v>
      </c>
      <c r="F14" s="5" t="s">
        <v>455</v>
      </c>
      <c r="G14" s="5" t="s">
        <v>456</v>
      </c>
      <c r="H14" s="5" t="s">
        <v>457</v>
      </c>
      <c r="I14" s="5" t="s">
        <v>458</v>
      </c>
      <c r="J14" s="5" t="s">
        <v>459</v>
      </c>
    </row>
    <row r="15" customFormat="false" ht="75.75" hidden="false" customHeight="true" outlineLevel="0" collapsed="false">
      <c r="A15" s="4" t="s">
        <v>460</v>
      </c>
      <c r="B15" s="4" t="s">
        <v>461</v>
      </c>
      <c r="C15" s="4" t="s">
        <v>462</v>
      </c>
      <c r="D15" s="4" t="s">
        <v>463</v>
      </c>
      <c r="E15" s="4" t="s">
        <v>464</v>
      </c>
      <c r="F15" s="4" t="s">
        <v>465</v>
      </c>
      <c r="G15" s="4" t="s">
        <v>466</v>
      </c>
      <c r="H15" s="4" t="s">
        <v>467</v>
      </c>
      <c r="I15" s="4" t="s">
        <v>468</v>
      </c>
      <c r="J15" s="4" t="s">
        <v>469</v>
      </c>
    </row>
    <row r="16" customFormat="false" ht="75.75" hidden="false" customHeight="true" outlineLevel="0" collapsed="false">
      <c r="A16" s="5" t="s">
        <v>470</v>
      </c>
      <c r="B16" s="5" t="s">
        <v>471</v>
      </c>
      <c r="C16" s="5" t="s">
        <v>472</v>
      </c>
      <c r="D16" s="5" t="s">
        <v>473</v>
      </c>
      <c r="E16" s="5" t="s">
        <v>474</v>
      </c>
      <c r="F16" s="5" t="s">
        <v>475</v>
      </c>
      <c r="G16" s="5" t="s">
        <v>476</v>
      </c>
      <c r="H16" s="5" t="s">
        <v>391</v>
      </c>
      <c r="I16" s="5" t="s">
        <v>477</v>
      </c>
      <c r="J16" s="5" t="s">
        <v>478</v>
      </c>
    </row>
    <row r="17" customFormat="false" ht="75.75" hidden="false" customHeight="true" outlineLevel="0" collapsed="false">
      <c r="A17" s="4" t="s">
        <v>479</v>
      </c>
      <c r="B17" s="4" t="s">
        <v>480</v>
      </c>
      <c r="C17" s="4" t="s">
        <v>481</v>
      </c>
      <c r="D17" s="4" t="s">
        <v>482</v>
      </c>
      <c r="E17" s="4" t="s">
        <v>483</v>
      </c>
      <c r="F17" s="4" t="s">
        <v>484</v>
      </c>
      <c r="G17" s="4" t="s">
        <v>485</v>
      </c>
      <c r="H17" s="4" t="s">
        <v>391</v>
      </c>
      <c r="I17" s="4" t="s">
        <v>486</v>
      </c>
      <c r="J17" s="4" t="s">
        <v>487</v>
      </c>
    </row>
    <row r="18" customFormat="false" ht="75.75" hidden="false" customHeight="true" outlineLevel="0" collapsed="false">
      <c r="A18" s="5" t="s">
        <v>149</v>
      </c>
      <c r="B18" s="5" t="s">
        <v>488</v>
      </c>
      <c r="C18" s="5" t="s">
        <v>489</v>
      </c>
      <c r="D18" s="5" t="s">
        <v>490</v>
      </c>
      <c r="E18" s="5" t="s">
        <v>491</v>
      </c>
      <c r="F18" s="5" t="s">
        <v>492</v>
      </c>
      <c r="G18" s="5" t="s">
        <v>493</v>
      </c>
      <c r="H18" s="5" t="s">
        <v>391</v>
      </c>
      <c r="I18" s="5" t="s">
        <v>494</v>
      </c>
      <c r="J18" s="5" t="s">
        <v>495</v>
      </c>
    </row>
    <row r="19" customFormat="false" ht="75.75" hidden="false" customHeight="true" outlineLevel="0" collapsed="false">
      <c r="A19" s="4" t="s">
        <v>496</v>
      </c>
      <c r="B19" s="4" t="s">
        <v>497</v>
      </c>
      <c r="C19" s="4" t="s">
        <v>498</v>
      </c>
      <c r="D19" s="4" t="s">
        <v>499</v>
      </c>
      <c r="E19" s="4" t="s">
        <v>500</v>
      </c>
      <c r="F19" s="4" t="s">
        <v>501</v>
      </c>
      <c r="G19" s="4" t="s">
        <v>502</v>
      </c>
      <c r="H19" s="4" t="s">
        <v>391</v>
      </c>
      <c r="I19" s="4" t="s">
        <v>391</v>
      </c>
      <c r="J19" s="4" t="s">
        <v>503</v>
      </c>
    </row>
    <row r="20" customFormat="false" ht="75.75" hidden="false" customHeight="true" outlineLevel="0" collapsed="false">
      <c r="A20" s="5" t="s">
        <v>150</v>
      </c>
      <c r="B20" s="5" t="s">
        <v>504</v>
      </c>
      <c r="C20" s="5" t="s">
        <v>505</v>
      </c>
      <c r="D20" s="5" t="s">
        <v>506</v>
      </c>
      <c r="E20" s="5" t="s">
        <v>507</v>
      </c>
      <c r="F20" s="5" t="s">
        <v>508</v>
      </c>
      <c r="G20" s="5" t="s">
        <v>509</v>
      </c>
      <c r="H20" s="5" t="s">
        <v>391</v>
      </c>
      <c r="I20" s="5" t="s">
        <v>391</v>
      </c>
      <c r="J20" s="5" t="s">
        <v>510</v>
      </c>
    </row>
    <row r="21" customFormat="false" ht="75.75" hidden="false" customHeight="true" outlineLevel="0" collapsed="false">
      <c r="A21" s="4" t="s">
        <v>154</v>
      </c>
      <c r="B21" s="4" t="s">
        <v>511</v>
      </c>
      <c r="C21" s="4" t="s">
        <v>512</v>
      </c>
      <c r="D21" s="4" t="s">
        <v>513</v>
      </c>
      <c r="E21" s="4" t="s">
        <v>514</v>
      </c>
      <c r="F21" s="4" t="s">
        <v>515</v>
      </c>
      <c r="G21" s="4" t="s">
        <v>516</v>
      </c>
      <c r="H21" s="4" t="s">
        <v>391</v>
      </c>
      <c r="I21" s="4" t="s">
        <v>517</v>
      </c>
      <c r="J21" s="4" t="s">
        <v>518</v>
      </c>
    </row>
    <row r="22" customFormat="false" ht="75.75" hidden="false" customHeight="true" outlineLevel="0" collapsed="false">
      <c r="A22" s="5" t="s">
        <v>519</v>
      </c>
      <c r="B22" s="5" t="s">
        <v>520</v>
      </c>
      <c r="C22" s="5" t="s">
        <v>521</v>
      </c>
      <c r="D22" s="5" t="s">
        <v>522</v>
      </c>
      <c r="E22" s="5" t="s">
        <v>523</v>
      </c>
      <c r="F22" s="5" t="s">
        <v>524</v>
      </c>
      <c r="G22" s="5" t="s">
        <v>525</v>
      </c>
      <c r="H22" s="5" t="s">
        <v>391</v>
      </c>
      <c r="I22" s="5" t="s">
        <v>391</v>
      </c>
      <c r="J22" s="5" t="s">
        <v>526</v>
      </c>
    </row>
    <row r="23" customFormat="false" ht="75.75" hidden="false" customHeight="true" outlineLevel="0" collapsed="false">
      <c r="A23" s="4" t="s">
        <v>527</v>
      </c>
      <c r="B23" s="4" t="s">
        <v>528</v>
      </c>
      <c r="C23" s="4" t="s">
        <v>529</v>
      </c>
      <c r="D23" s="4" t="s">
        <v>530</v>
      </c>
      <c r="E23" s="4" t="s">
        <v>531</v>
      </c>
      <c r="F23" s="4" t="s">
        <v>532</v>
      </c>
      <c r="G23" s="4" t="s">
        <v>533</v>
      </c>
      <c r="H23" s="4" t="s">
        <v>391</v>
      </c>
      <c r="I23" s="4" t="s">
        <v>534</v>
      </c>
      <c r="J23" s="4" t="s">
        <v>535</v>
      </c>
    </row>
    <row r="24" customFormat="false" ht="75.75" hidden="false" customHeight="true" outlineLevel="0" collapsed="false">
      <c r="A24" s="5" t="s">
        <v>536</v>
      </c>
      <c r="B24" s="5" t="s">
        <v>537</v>
      </c>
      <c r="C24" s="5" t="s">
        <v>538</v>
      </c>
      <c r="D24" s="5" t="s">
        <v>539</v>
      </c>
      <c r="E24" s="5" t="s">
        <v>540</v>
      </c>
      <c r="F24" s="5" t="s">
        <v>541</v>
      </c>
      <c r="G24" s="5" t="s">
        <v>542</v>
      </c>
      <c r="H24" s="5" t="s">
        <v>391</v>
      </c>
      <c r="I24" s="5" t="s">
        <v>543</v>
      </c>
      <c r="J24" s="5" t="s">
        <v>544</v>
      </c>
    </row>
    <row r="25" customFormat="false" ht="75.75" hidden="false" customHeight="true" outlineLevel="0" collapsed="false">
      <c r="A25" s="4" t="s">
        <v>545</v>
      </c>
      <c r="B25" s="4" t="s">
        <v>391</v>
      </c>
      <c r="C25" s="4" t="s">
        <v>395</v>
      </c>
      <c r="D25" s="4" t="s">
        <v>395</v>
      </c>
      <c r="E25" s="4" t="s">
        <v>546</v>
      </c>
      <c r="F25" s="4" t="s">
        <v>395</v>
      </c>
      <c r="G25" s="4" t="s">
        <v>391</v>
      </c>
      <c r="H25" s="4" t="s">
        <v>391</v>
      </c>
      <c r="I25" s="4" t="s">
        <v>391</v>
      </c>
      <c r="J25" s="4" t="s">
        <v>547</v>
      </c>
    </row>
    <row r="26" customFormat="false" ht="75.75" hidden="false" customHeight="true" outlineLevel="0" collapsed="false">
      <c r="A26" s="5" t="s">
        <v>160</v>
      </c>
      <c r="B26" s="5" t="s">
        <v>548</v>
      </c>
      <c r="C26" s="5" t="s">
        <v>549</v>
      </c>
      <c r="D26" s="5" t="s">
        <v>550</v>
      </c>
      <c r="E26" s="5" t="s">
        <v>551</v>
      </c>
      <c r="F26" s="5" t="s">
        <v>552</v>
      </c>
      <c r="G26" s="5" t="s">
        <v>553</v>
      </c>
      <c r="H26" s="5" t="s">
        <v>554</v>
      </c>
      <c r="I26" s="5" t="s">
        <v>555</v>
      </c>
      <c r="J26" s="5" t="s">
        <v>556</v>
      </c>
    </row>
    <row r="27" customFormat="false" ht="75.75" hidden="false" customHeight="true" outlineLevel="0" collapsed="false">
      <c r="A27" s="4" t="s">
        <v>161</v>
      </c>
      <c r="B27" s="4" t="s">
        <v>557</v>
      </c>
      <c r="C27" s="4" t="s">
        <v>558</v>
      </c>
      <c r="D27" s="4" t="s">
        <v>559</v>
      </c>
      <c r="E27" s="4" t="s">
        <v>560</v>
      </c>
      <c r="F27" s="4" t="s">
        <v>558</v>
      </c>
      <c r="G27" s="4" t="s">
        <v>561</v>
      </c>
      <c r="H27" s="4" t="s">
        <v>562</v>
      </c>
      <c r="I27" s="4" t="s">
        <v>563</v>
      </c>
      <c r="J27" s="4" t="s">
        <v>564</v>
      </c>
    </row>
    <row r="28" customFormat="false" ht="75.75" hidden="false" customHeight="true" outlineLevel="0" collapsed="false">
      <c r="A28" s="5" t="s">
        <v>162</v>
      </c>
      <c r="B28" s="5" t="s">
        <v>565</v>
      </c>
      <c r="C28" s="5" t="s">
        <v>566</v>
      </c>
      <c r="D28" s="5" t="s">
        <v>567</v>
      </c>
      <c r="E28" s="5" t="s">
        <v>384</v>
      </c>
      <c r="F28" s="5" t="s">
        <v>568</v>
      </c>
      <c r="G28" s="5" t="s">
        <v>569</v>
      </c>
      <c r="H28" s="5" t="s">
        <v>570</v>
      </c>
      <c r="I28" s="5" t="s">
        <v>571</v>
      </c>
      <c r="J28" s="5" t="s">
        <v>572</v>
      </c>
    </row>
    <row r="29" customFormat="false" ht="75.75" hidden="false" customHeight="true" outlineLevel="0" collapsed="false">
      <c r="A29" s="4" t="s">
        <v>165</v>
      </c>
      <c r="B29" s="4" t="s">
        <v>573</v>
      </c>
      <c r="C29" s="4" t="s">
        <v>574</v>
      </c>
      <c r="D29" s="4" t="s">
        <v>575</v>
      </c>
      <c r="E29" s="4" t="s">
        <v>576</v>
      </c>
      <c r="F29" s="4" t="s">
        <v>577</v>
      </c>
      <c r="G29" s="4" t="s">
        <v>578</v>
      </c>
      <c r="H29" s="4" t="s">
        <v>579</v>
      </c>
      <c r="I29" s="4" t="s">
        <v>391</v>
      </c>
      <c r="J29" s="4" t="s">
        <v>580</v>
      </c>
    </row>
    <row r="30" customFormat="false" ht="75.75" hidden="false" customHeight="true" outlineLevel="0" collapsed="false">
      <c r="A30" s="5" t="s">
        <v>581</v>
      </c>
      <c r="B30" s="5" t="s">
        <v>582</v>
      </c>
      <c r="C30" s="5" t="s">
        <v>583</v>
      </c>
      <c r="D30" s="5" t="s">
        <v>584</v>
      </c>
      <c r="E30" s="5" t="s">
        <v>585</v>
      </c>
      <c r="F30" s="5" t="s">
        <v>586</v>
      </c>
      <c r="G30" s="5" t="s">
        <v>391</v>
      </c>
      <c r="H30" s="5" t="s">
        <v>587</v>
      </c>
      <c r="I30" s="5" t="s">
        <v>391</v>
      </c>
      <c r="J30" s="5" t="s">
        <v>588</v>
      </c>
    </row>
    <row r="31" customFormat="false" ht="75.75" hidden="false" customHeight="true" outlineLevel="0" collapsed="false">
      <c r="A31" s="4" t="s">
        <v>589</v>
      </c>
      <c r="B31" s="4" t="s">
        <v>590</v>
      </c>
      <c r="C31" s="4" t="s">
        <v>591</v>
      </c>
      <c r="D31" s="4" t="s">
        <v>592</v>
      </c>
      <c r="E31" s="4" t="s">
        <v>593</v>
      </c>
      <c r="F31" s="4" t="s">
        <v>594</v>
      </c>
      <c r="G31" s="4" t="s">
        <v>509</v>
      </c>
      <c r="H31" s="4" t="s">
        <v>595</v>
      </c>
      <c r="I31" s="4" t="s">
        <v>596</v>
      </c>
      <c r="J31" s="4" t="s">
        <v>597</v>
      </c>
    </row>
    <row r="32" customFormat="false" ht="75.75" hidden="false" customHeight="true" outlineLevel="0" collapsed="false">
      <c r="A32" s="5" t="s">
        <v>598</v>
      </c>
      <c r="B32" s="5" t="s">
        <v>599</v>
      </c>
      <c r="C32" s="5" t="s">
        <v>600</v>
      </c>
      <c r="D32" s="5" t="s">
        <v>601</v>
      </c>
      <c r="E32" s="5" t="s">
        <v>602</v>
      </c>
      <c r="F32" s="5" t="s">
        <v>603</v>
      </c>
      <c r="G32" s="5" t="s">
        <v>604</v>
      </c>
      <c r="H32" s="5" t="s">
        <v>391</v>
      </c>
      <c r="I32" s="5" t="s">
        <v>391</v>
      </c>
      <c r="J32" s="5" t="s">
        <v>605</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606</v>
      </c>
    </row>
    <row r="2" customFormat="false" ht="15" hidden="false" customHeight="false" outlineLevel="0" collapsed="false">
      <c r="A2" s="2" t="s">
        <v>607</v>
      </c>
    </row>
    <row r="4" customFormat="false" ht="30" hidden="false" customHeight="true" outlineLevel="0" collapsed="false">
      <c r="A4" s="3" t="s">
        <v>608</v>
      </c>
      <c r="B4" s="3" t="s">
        <v>609</v>
      </c>
      <c r="C4" s="3" t="s">
        <v>610</v>
      </c>
      <c r="D4" s="3" t="s">
        <v>611</v>
      </c>
      <c r="E4" s="3" t="s">
        <v>612</v>
      </c>
      <c r="F4" s="3" t="s">
        <v>613</v>
      </c>
      <c r="G4" s="3" t="s">
        <v>614</v>
      </c>
      <c r="H4" s="3" t="s">
        <v>615</v>
      </c>
    </row>
    <row r="5" customFormat="false" ht="43.5" hidden="false" customHeight="true" outlineLevel="0" collapsed="false">
      <c r="A5" s="4" t="s">
        <v>616</v>
      </c>
      <c r="B5" s="4" t="s">
        <v>617</v>
      </c>
      <c r="C5" s="4" t="s">
        <v>618</v>
      </c>
      <c r="D5" s="4" t="s">
        <v>619</v>
      </c>
      <c r="E5" s="4" t="s">
        <v>619</v>
      </c>
      <c r="F5" s="4" t="s">
        <v>620</v>
      </c>
      <c r="G5" s="4" t="s">
        <v>621</v>
      </c>
      <c r="H5" s="4" t="s">
        <v>622</v>
      </c>
    </row>
    <row r="6" customFormat="false" ht="43.5" hidden="false" customHeight="true" outlineLevel="0" collapsed="false">
      <c r="A6" s="5" t="s">
        <v>623</v>
      </c>
      <c r="B6" s="5" t="s">
        <v>624</v>
      </c>
      <c r="C6" s="5" t="s">
        <v>625</v>
      </c>
      <c r="D6" s="5" t="s">
        <v>626</v>
      </c>
      <c r="E6" s="5" t="s">
        <v>627</v>
      </c>
      <c r="F6" s="5" t="s">
        <v>628</v>
      </c>
      <c r="G6" s="5" t="s">
        <v>629</v>
      </c>
      <c r="H6" s="5" t="s">
        <v>622</v>
      </c>
    </row>
    <row r="7" customFormat="false" ht="43.5" hidden="false" customHeight="true" outlineLevel="0" collapsed="false">
      <c r="A7" s="4" t="s">
        <v>630</v>
      </c>
      <c r="B7" s="4" t="s">
        <v>617</v>
      </c>
      <c r="C7" s="4" t="s">
        <v>631</v>
      </c>
      <c r="D7" s="4" t="s">
        <v>632</v>
      </c>
      <c r="E7" s="4" t="s">
        <v>633</v>
      </c>
      <c r="F7" s="4" t="s">
        <v>634</v>
      </c>
      <c r="G7" s="4" t="s">
        <v>635</v>
      </c>
      <c r="H7" s="4" t="s">
        <v>622</v>
      </c>
    </row>
    <row r="8" customFormat="false" ht="43.5" hidden="false" customHeight="true" outlineLevel="0" collapsed="false">
      <c r="A8" s="5" t="s">
        <v>636</v>
      </c>
      <c r="B8" s="5" t="s">
        <v>637</v>
      </c>
      <c r="C8" s="5" t="s">
        <v>638</v>
      </c>
      <c r="D8" s="5" t="s">
        <v>639</v>
      </c>
      <c r="E8" s="5" t="s">
        <v>640</v>
      </c>
      <c r="F8" s="5" t="s">
        <v>641</v>
      </c>
      <c r="G8" s="5" t="s">
        <v>642</v>
      </c>
      <c r="H8" s="5" t="s">
        <v>622</v>
      </c>
    </row>
    <row r="9" customFormat="false" ht="43.5" hidden="false" customHeight="true" outlineLevel="0" collapsed="false">
      <c r="A9" s="4" t="s">
        <v>643</v>
      </c>
      <c r="B9" s="4" t="s">
        <v>637</v>
      </c>
      <c r="C9" s="4" t="s">
        <v>644</v>
      </c>
      <c r="D9" s="4" t="s">
        <v>645</v>
      </c>
      <c r="E9" s="4" t="s">
        <v>646</v>
      </c>
      <c r="F9" s="4" t="s">
        <v>647</v>
      </c>
      <c r="G9" s="4" t="s">
        <v>648</v>
      </c>
      <c r="H9" s="4" t="s">
        <v>649</v>
      </c>
    </row>
    <row r="10" customFormat="false" ht="43.5" hidden="false" customHeight="true" outlineLevel="0" collapsed="false">
      <c r="A10" s="5" t="s">
        <v>650</v>
      </c>
      <c r="B10" s="5" t="s">
        <v>195</v>
      </c>
      <c r="C10" s="5" t="s">
        <v>651</v>
      </c>
      <c r="D10" s="5" t="s">
        <v>652</v>
      </c>
      <c r="E10" s="5" t="s">
        <v>653</v>
      </c>
      <c r="F10" s="5" t="s">
        <v>654</v>
      </c>
      <c r="G10" s="5" t="s">
        <v>655</v>
      </c>
      <c r="H10" s="5" t="s">
        <v>622</v>
      </c>
    </row>
    <row r="11" customFormat="false" ht="43.5" hidden="false" customHeight="true" outlineLevel="0" collapsed="false">
      <c r="A11" s="4" t="s">
        <v>656</v>
      </c>
      <c r="B11" s="4" t="s">
        <v>195</v>
      </c>
      <c r="C11" s="4" t="s">
        <v>657</v>
      </c>
      <c r="D11" s="4" t="s">
        <v>658</v>
      </c>
      <c r="E11" s="4" t="s">
        <v>653</v>
      </c>
      <c r="F11" s="4" t="s">
        <v>659</v>
      </c>
      <c r="G11" s="4" t="s">
        <v>660</v>
      </c>
      <c r="H11" s="4" t="s">
        <v>622</v>
      </c>
    </row>
    <row r="12" customFormat="false" ht="43.5" hidden="false" customHeight="true" outlineLevel="0" collapsed="false">
      <c r="A12" s="5" t="s">
        <v>661</v>
      </c>
      <c r="B12" s="5" t="s">
        <v>195</v>
      </c>
      <c r="C12" s="5" t="s">
        <v>662</v>
      </c>
      <c r="D12" s="5" t="s">
        <v>663</v>
      </c>
      <c r="E12" s="5" t="s">
        <v>664</v>
      </c>
      <c r="F12" s="5" t="s">
        <v>665</v>
      </c>
      <c r="G12" s="5" t="s">
        <v>666</v>
      </c>
      <c r="H12" s="5" t="s">
        <v>622</v>
      </c>
    </row>
    <row r="13" customFormat="false" ht="43.5" hidden="false" customHeight="true" outlineLevel="0" collapsed="false">
      <c r="A13" s="4" t="s">
        <v>667</v>
      </c>
      <c r="B13" s="4" t="s">
        <v>192</v>
      </c>
      <c r="C13" s="4" t="s">
        <v>668</v>
      </c>
      <c r="D13" s="4" t="s">
        <v>669</v>
      </c>
      <c r="E13" s="4" t="s">
        <v>670</v>
      </c>
      <c r="F13" s="4" t="s">
        <v>671</v>
      </c>
      <c r="G13" s="4" t="s">
        <v>672</v>
      </c>
      <c r="H13" s="4" t="s">
        <v>622</v>
      </c>
    </row>
    <row r="14" customFormat="false" ht="43.5" hidden="false" customHeight="true" outlineLevel="0" collapsed="false">
      <c r="A14" s="5" t="s">
        <v>673</v>
      </c>
      <c r="B14" s="5" t="s">
        <v>192</v>
      </c>
      <c r="C14" s="5" t="s">
        <v>674</v>
      </c>
      <c r="D14" s="5" t="s">
        <v>675</v>
      </c>
      <c r="E14" s="5" t="s">
        <v>640</v>
      </c>
      <c r="F14" s="5" t="s">
        <v>676</v>
      </c>
      <c r="G14" s="5" t="s">
        <v>677</v>
      </c>
      <c r="H14" s="5" t="s">
        <v>622</v>
      </c>
    </row>
    <row r="15" customFormat="false" ht="43.5" hidden="false" customHeight="true" outlineLevel="0" collapsed="false">
      <c r="A15" s="4" t="s">
        <v>678</v>
      </c>
      <c r="B15" s="4" t="s">
        <v>192</v>
      </c>
      <c r="C15" s="4" t="s">
        <v>679</v>
      </c>
      <c r="D15" s="4" t="s">
        <v>680</v>
      </c>
      <c r="E15" s="4" t="s">
        <v>681</v>
      </c>
      <c r="F15" s="4" t="s">
        <v>682</v>
      </c>
      <c r="G15" s="4" t="s">
        <v>683</v>
      </c>
      <c r="H15" s="4" t="s">
        <v>622</v>
      </c>
    </row>
    <row r="16" customFormat="false" ht="43.5" hidden="false" customHeight="true" outlineLevel="0" collapsed="false">
      <c r="A16" s="5" t="s">
        <v>684</v>
      </c>
      <c r="B16" s="5" t="s">
        <v>219</v>
      </c>
      <c r="C16" s="5" t="s">
        <v>685</v>
      </c>
      <c r="D16" s="5" t="s">
        <v>686</v>
      </c>
      <c r="E16" s="5" t="s">
        <v>687</v>
      </c>
      <c r="F16" s="5" t="s">
        <v>688</v>
      </c>
      <c r="G16" s="5" t="s">
        <v>689</v>
      </c>
      <c r="H16" s="5" t="s">
        <v>622</v>
      </c>
    </row>
    <row r="17" customFormat="false" ht="43.5" hidden="false" customHeight="true" outlineLevel="0" collapsed="false">
      <c r="A17" s="4" t="s">
        <v>690</v>
      </c>
      <c r="B17" s="4" t="s">
        <v>691</v>
      </c>
      <c r="C17" s="4" t="s">
        <v>692</v>
      </c>
      <c r="D17" s="4" t="s">
        <v>693</v>
      </c>
      <c r="E17" s="4" t="s">
        <v>633</v>
      </c>
      <c r="F17" s="4" t="s">
        <v>694</v>
      </c>
      <c r="G17" s="4" t="s">
        <v>695</v>
      </c>
      <c r="H17" s="4" t="s">
        <v>622</v>
      </c>
    </row>
    <row r="18" customFormat="false" ht="43.5" hidden="false" customHeight="true" outlineLevel="0" collapsed="false">
      <c r="A18" s="5" t="s">
        <v>696</v>
      </c>
      <c r="B18" s="5" t="s">
        <v>219</v>
      </c>
      <c r="C18" s="5" t="s">
        <v>697</v>
      </c>
      <c r="D18" s="5" t="s">
        <v>698</v>
      </c>
      <c r="E18" s="5" t="s">
        <v>640</v>
      </c>
      <c r="F18" s="5" t="s">
        <v>699</v>
      </c>
      <c r="G18" s="5" t="s">
        <v>700</v>
      </c>
      <c r="H18" s="5" t="s">
        <v>622</v>
      </c>
    </row>
    <row r="19" customFormat="false" ht="43.5" hidden="false" customHeight="true" outlineLevel="0" collapsed="false">
      <c r="A19" s="4" t="s">
        <v>701</v>
      </c>
      <c r="B19" s="4" t="s">
        <v>367</v>
      </c>
      <c r="C19" s="4" t="s">
        <v>702</v>
      </c>
      <c r="D19" s="4" t="s">
        <v>703</v>
      </c>
      <c r="E19" s="4" t="s">
        <v>704</v>
      </c>
      <c r="F19" s="4" t="s">
        <v>705</v>
      </c>
      <c r="G19" s="4" t="s">
        <v>706</v>
      </c>
      <c r="H19" s="4" t="s">
        <v>622</v>
      </c>
    </row>
    <row r="20" customFormat="false" ht="43.5" hidden="false" customHeight="true" outlineLevel="0" collapsed="false">
      <c r="A20" s="5" t="s">
        <v>707</v>
      </c>
      <c r="B20" s="5" t="s">
        <v>367</v>
      </c>
      <c r="C20" s="5" t="s">
        <v>708</v>
      </c>
      <c r="D20" s="5" t="s">
        <v>709</v>
      </c>
      <c r="E20" s="5" t="s">
        <v>704</v>
      </c>
      <c r="F20" s="5" t="s">
        <v>710</v>
      </c>
      <c r="G20" s="5" t="s">
        <v>711</v>
      </c>
      <c r="H20" s="5" t="s">
        <v>622</v>
      </c>
    </row>
    <row r="21" customFormat="false" ht="43.5" hidden="false" customHeight="true" outlineLevel="0" collapsed="false">
      <c r="A21" s="4" t="s">
        <v>712</v>
      </c>
      <c r="B21" s="4" t="s">
        <v>367</v>
      </c>
      <c r="C21" s="4" t="s">
        <v>713</v>
      </c>
      <c r="D21" s="4" t="s">
        <v>714</v>
      </c>
      <c r="E21" s="4" t="s">
        <v>633</v>
      </c>
      <c r="F21" s="4" t="s">
        <v>715</v>
      </c>
      <c r="G21" s="4" t="s">
        <v>716</v>
      </c>
      <c r="H21" s="4" t="s">
        <v>622</v>
      </c>
    </row>
    <row r="22" customFormat="false" ht="43.5" hidden="false" customHeight="true" outlineLevel="0" collapsed="false">
      <c r="A22" s="5" t="s">
        <v>717</v>
      </c>
      <c r="B22" s="5" t="s">
        <v>248</v>
      </c>
      <c r="C22" s="5" t="s">
        <v>718</v>
      </c>
      <c r="D22" s="5" t="s">
        <v>719</v>
      </c>
      <c r="E22" s="5" t="s">
        <v>720</v>
      </c>
      <c r="F22" s="5" t="s">
        <v>721</v>
      </c>
      <c r="G22" s="5" t="s">
        <v>722</v>
      </c>
      <c r="H22" s="5" t="s">
        <v>622</v>
      </c>
    </row>
    <row r="23" customFormat="false" ht="43.5" hidden="false" customHeight="true" outlineLevel="0" collapsed="false">
      <c r="A23" s="4" t="s">
        <v>723</v>
      </c>
      <c r="B23" s="4" t="s">
        <v>248</v>
      </c>
      <c r="C23" s="4" t="s">
        <v>724</v>
      </c>
      <c r="D23" s="4" t="s">
        <v>725</v>
      </c>
      <c r="E23" s="4" t="s">
        <v>704</v>
      </c>
      <c r="F23" s="4" t="s">
        <v>726</v>
      </c>
      <c r="G23" s="4" t="s">
        <v>727</v>
      </c>
      <c r="H23" s="4" t="s">
        <v>622</v>
      </c>
    </row>
    <row r="24" customFormat="false" ht="43.5" hidden="false" customHeight="true" outlineLevel="0" collapsed="false">
      <c r="A24" s="5" t="s">
        <v>728</v>
      </c>
      <c r="B24" s="5" t="s">
        <v>248</v>
      </c>
      <c r="C24" s="5" t="s">
        <v>729</v>
      </c>
      <c r="D24" s="5" t="s">
        <v>730</v>
      </c>
      <c r="E24" s="5" t="s">
        <v>704</v>
      </c>
      <c r="F24" s="5" t="s">
        <v>731</v>
      </c>
      <c r="G24" s="5" t="s">
        <v>732</v>
      </c>
      <c r="H24" s="5" t="s">
        <v>622</v>
      </c>
    </row>
    <row r="25" customFormat="false" ht="43.5" hidden="false" customHeight="true" outlineLevel="0" collapsed="false">
      <c r="A25" s="4" t="s">
        <v>733</v>
      </c>
      <c r="B25" s="4" t="s">
        <v>248</v>
      </c>
      <c r="C25" s="4" t="s">
        <v>734</v>
      </c>
      <c r="D25" s="4" t="s">
        <v>735</v>
      </c>
      <c r="E25" s="4" t="s">
        <v>704</v>
      </c>
      <c r="F25" s="4" t="s">
        <v>736</v>
      </c>
      <c r="G25" s="4" t="s">
        <v>732</v>
      </c>
      <c r="H25" s="4" t="s">
        <v>622</v>
      </c>
    </row>
    <row r="26" customFormat="false" ht="43.5" hidden="false" customHeight="true" outlineLevel="0" collapsed="false">
      <c r="A26" s="5" t="s">
        <v>737</v>
      </c>
      <c r="B26" s="5" t="s">
        <v>248</v>
      </c>
      <c r="C26" s="5" t="s">
        <v>738</v>
      </c>
      <c r="D26" s="5" t="s">
        <v>739</v>
      </c>
      <c r="E26" s="5" t="s">
        <v>704</v>
      </c>
      <c r="F26" s="5" t="s">
        <v>740</v>
      </c>
      <c r="G26" s="5" t="s">
        <v>732</v>
      </c>
      <c r="H26" s="5" t="s">
        <v>622</v>
      </c>
    </row>
    <row r="27" customFormat="false" ht="43.5" hidden="false" customHeight="true" outlineLevel="0" collapsed="false">
      <c r="A27" s="4" t="s">
        <v>741</v>
      </c>
      <c r="B27" s="4" t="s">
        <v>248</v>
      </c>
      <c r="C27" s="4" t="s">
        <v>742</v>
      </c>
      <c r="D27" s="4" t="s">
        <v>743</v>
      </c>
      <c r="E27" s="4" t="s">
        <v>704</v>
      </c>
      <c r="F27" s="4" t="s">
        <v>744</v>
      </c>
      <c r="G27" s="4" t="s">
        <v>745</v>
      </c>
      <c r="H27" s="4" t="s">
        <v>622</v>
      </c>
    </row>
    <row r="28" customFormat="false" ht="43.5" hidden="false" customHeight="true" outlineLevel="0" collapsed="false">
      <c r="A28" s="5" t="s">
        <v>746</v>
      </c>
      <c r="B28" s="5" t="s">
        <v>368</v>
      </c>
      <c r="C28" s="5" t="s">
        <v>747</v>
      </c>
      <c r="D28" s="5" t="s">
        <v>748</v>
      </c>
      <c r="E28" s="5" t="s">
        <v>704</v>
      </c>
      <c r="F28" s="5" t="s">
        <v>749</v>
      </c>
      <c r="G28" s="5" t="s">
        <v>750</v>
      </c>
      <c r="H28" s="5" t="s">
        <v>649</v>
      </c>
    </row>
    <row r="29" customFormat="false" ht="43.5" hidden="false" customHeight="true" outlineLevel="0" collapsed="false">
      <c r="A29" s="4" t="s">
        <v>751</v>
      </c>
      <c r="B29" s="4" t="s">
        <v>368</v>
      </c>
      <c r="C29" s="4" t="s">
        <v>752</v>
      </c>
      <c r="D29" s="4" t="s">
        <v>753</v>
      </c>
      <c r="E29" s="4" t="s">
        <v>704</v>
      </c>
      <c r="F29" s="4" t="s">
        <v>754</v>
      </c>
      <c r="G29" s="4" t="s">
        <v>755</v>
      </c>
      <c r="H29" s="4" t="s">
        <v>622</v>
      </c>
    </row>
    <row r="30" customFormat="false" ht="43.5" hidden="false" customHeight="true" outlineLevel="0" collapsed="false">
      <c r="A30" s="5" t="s">
        <v>756</v>
      </c>
      <c r="B30" s="5" t="s">
        <v>368</v>
      </c>
      <c r="C30" s="5" t="s">
        <v>757</v>
      </c>
      <c r="D30" s="5" t="s">
        <v>758</v>
      </c>
      <c r="E30" s="5" t="s">
        <v>704</v>
      </c>
      <c r="F30" s="5" t="s">
        <v>759</v>
      </c>
      <c r="G30" s="5" t="s">
        <v>755</v>
      </c>
      <c r="H30" s="5" t="s">
        <v>622</v>
      </c>
    </row>
    <row r="31" customFormat="false" ht="43.5" hidden="false" customHeight="true" outlineLevel="0" collapsed="false">
      <c r="A31" s="4" t="s">
        <v>760</v>
      </c>
      <c r="B31" s="4" t="s">
        <v>248</v>
      </c>
      <c r="C31" s="4" t="s">
        <v>761</v>
      </c>
      <c r="D31" s="4" t="s">
        <v>762</v>
      </c>
      <c r="E31" s="4" t="s">
        <v>704</v>
      </c>
      <c r="F31" s="4" t="s">
        <v>763</v>
      </c>
      <c r="G31" s="4" t="s">
        <v>764</v>
      </c>
      <c r="H31" s="4" t="s">
        <v>622</v>
      </c>
    </row>
    <row r="32" customFormat="false" ht="43.5" hidden="false" customHeight="true" outlineLevel="0" collapsed="false">
      <c r="A32" s="5" t="s">
        <v>765</v>
      </c>
      <c r="B32" s="5" t="s">
        <v>248</v>
      </c>
      <c r="C32" s="5" t="s">
        <v>766</v>
      </c>
      <c r="D32" s="5" t="s">
        <v>767</v>
      </c>
      <c r="E32" s="5" t="s">
        <v>704</v>
      </c>
      <c r="F32" s="5" t="s">
        <v>768</v>
      </c>
      <c r="G32" s="5" t="s">
        <v>732</v>
      </c>
      <c r="H32" s="5" t="s">
        <v>622</v>
      </c>
    </row>
    <row r="33" customFormat="false" ht="43.5" hidden="false" customHeight="true" outlineLevel="0" collapsed="false">
      <c r="A33" s="4" t="s">
        <v>769</v>
      </c>
      <c r="B33" s="4" t="s">
        <v>770</v>
      </c>
      <c r="C33" s="4" t="s">
        <v>771</v>
      </c>
      <c r="D33" s="4" t="s">
        <v>772</v>
      </c>
      <c r="E33" s="4" t="s">
        <v>773</v>
      </c>
      <c r="F33" s="4" t="s">
        <v>774</v>
      </c>
      <c r="G33" s="4" t="s">
        <v>775</v>
      </c>
      <c r="H33" s="4" t="s">
        <v>622</v>
      </c>
    </row>
    <row r="34" customFormat="false" ht="43.5" hidden="false" customHeight="true" outlineLevel="0" collapsed="false">
      <c r="A34" s="5" t="s">
        <v>776</v>
      </c>
      <c r="B34" s="5" t="s">
        <v>770</v>
      </c>
      <c r="C34" s="5" t="s">
        <v>777</v>
      </c>
      <c r="D34" s="5" t="s">
        <v>772</v>
      </c>
      <c r="E34" s="5" t="s">
        <v>773</v>
      </c>
      <c r="F34" s="5" t="s">
        <v>774</v>
      </c>
      <c r="G34" s="5" t="s">
        <v>775</v>
      </c>
      <c r="H34" s="5" t="s">
        <v>622</v>
      </c>
    </row>
    <row r="35" customFormat="false" ht="43.5" hidden="false" customHeight="true" outlineLevel="0" collapsed="false">
      <c r="A35" s="4" t="s">
        <v>778</v>
      </c>
      <c r="B35" s="4" t="s">
        <v>770</v>
      </c>
      <c r="C35" s="4" t="s">
        <v>779</v>
      </c>
      <c r="D35" s="4" t="s">
        <v>772</v>
      </c>
      <c r="E35" s="4" t="s">
        <v>780</v>
      </c>
      <c r="F35" s="4" t="s">
        <v>774</v>
      </c>
      <c r="G35" s="4" t="s">
        <v>781</v>
      </c>
      <c r="H35" s="4" t="s">
        <v>622</v>
      </c>
    </row>
    <row r="36" customFormat="false" ht="43.5" hidden="false" customHeight="true" outlineLevel="0" collapsed="false">
      <c r="A36" s="5" t="s">
        <v>782</v>
      </c>
      <c r="B36" s="5" t="s">
        <v>770</v>
      </c>
      <c r="C36" s="5" t="s">
        <v>783</v>
      </c>
      <c r="D36" s="5" t="s">
        <v>772</v>
      </c>
      <c r="E36" s="5" t="s">
        <v>784</v>
      </c>
      <c r="F36" s="5" t="s">
        <v>774</v>
      </c>
      <c r="G36" s="5" t="s">
        <v>785</v>
      </c>
      <c r="H36" s="5" t="s">
        <v>622</v>
      </c>
    </row>
    <row r="37" customFormat="false" ht="43.5" hidden="false" customHeight="true" outlineLevel="0" collapsed="false">
      <c r="A37" s="4" t="s">
        <v>786</v>
      </c>
      <c r="B37" s="4" t="s">
        <v>770</v>
      </c>
      <c r="C37" s="4" t="s">
        <v>787</v>
      </c>
      <c r="D37" s="4" t="s">
        <v>772</v>
      </c>
      <c r="E37" s="4" t="s">
        <v>788</v>
      </c>
      <c r="F37" s="4" t="s">
        <v>774</v>
      </c>
      <c r="G37" s="4" t="s">
        <v>789</v>
      </c>
      <c r="H37" s="4" t="s">
        <v>622</v>
      </c>
    </row>
    <row r="38" customFormat="false" ht="43.5" hidden="false" customHeight="true" outlineLevel="0" collapsed="false">
      <c r="A38" s="5" t="s">
        <v>790</v>
      </c>
      <c r="B38" s="5" t="s">
        <v>770</v>
      </c>
      <c r="C38" s="5" t="s">
        <v>791</v>
      </c>
      <c r="D38" s="5" t="s">
        <v>772</v>
      </c>
      <c r="E38" s="5" t="s">
        <v>792</v>
      </c>
      <c r="F38" s="5" t="s">
        <v>774</v>
      </c>
      <c r="G38" s="5" t="s">
        <v>793</v>
      </c>
      <c r="H38" s="5" t="s">
        <v>622</v>
      </c>
    </row>
    <row r="39" customFormat="false" ht="43.5" hidden="false" customHeight="true" outlineLevel="0" collapsed="false">
      <c r="A39" s="4" t="s">
        <v>794</v>
      </c>
      <c r="B39" s="4" t="s">
        <v>770</v>
      </c>
      <c r="C39" s="4" t="s">
        <v>795</v>
      </c>
      <c r="D39" s="4" t="s">
        <v>772</v>
      </c>
      <c r="E39" s="4" t="s">
        <v>704</v>
      </c>
      <c r="F39" s="4" t="s">
        <v>796</v>
      </c>
      <c r="G39" s="4" t="s">
        <v>797</v>
      </c>
      <c r="H39" s="4" t="s">
        <v>622</v>
      </c>
    </row>
    <row r="40" customFormat="false" ht="43.5" hidden="false" customHeight="true" outlineLevel="0" collapsed="false">
      <c r="A40" s="5" t="s">
        <v>798</v>
      </c>
      <c r="B40" s="5" t="s">
        <v>770</v>
      </c>
      <c r="C40" s="5" t="s">
        <v>799</v>
      </c>
      <c r="D40" s="5" t="s">
        <v>800</v>
      </c>
      <c r="E40" s="5" t="s">
        <v>704</v>
      </c>
      <c r="F40" s="5" t="s">
        <v>801</v>
      </c>
      <c r="G40" s="5" t="s">
        <v>802</v>
      </c>
      <c r="H40" s="5" t="s">
        <v>622</v>
      </c>
    </row>
    <row r="41" customFormat="false" ht="43.5" hidden="false" customHeight="true" outlineLevel="0" collapsed="false">
      <c r="A41" s="4" t="s">
        <v>803</v>
      </c>
      <c r="B41" s="4" t="s">
        <v>804</v>
      </c>
      <c r="C41" s="4" t="s">
        <v>805</v>
      </c>
      <c r="D41" s="4" t="s">
        <v>714</v>
      </c>
      <c r="E41" s="4" t="s">
        <v>633</v>
      </c>
      <c r="F41" s="4" t="s">
        <v>806</v>
      </c>
      <c r="G41" s="4" t="s">
        <v>807</v>
      </c>
      <c r="H41" s="4" t="s">
        <v>649</v>
      </c>
    </row>
    <row r="42" customFormat="false" ht="43.5" hidden="false" customHeight="true" outlineLevel="0" collapsed="false">
      <c r="A42" s="5" t="s">
        <v>808</v>
      </c>
      <c r="B42" s="5" t="s">
        <v>770</v>
      </c>
      <c r="C42" s="5" t="s">
        <v>809</v>
      </c>
      <c r="D42" s="5" t="s">
        <v>772</v>
      </c>
      <c r="E42" s="5" t="s">
        <v>704</v>
      </c>
      <c r="F42" s="5" t="s">
        <v>796</v>
      </c>
      <c r="G42" s="5" t="s">
        <v>810</v>
      </c>
      <c r="H42" s="5" t="s">
        <v>649</v>
      </c>
    </row>
    <row r="43" customFormat="false" ht="43.5" hidden="false" customHeight="true" outlineLevel="0" collapsed="false">
      <c r="A43" s="4" t="s">
        <v>811</v>
      </c>
      <c r="B43" s="4" t="s">
        <v>770</v>
      </c>
      <c r="C43" s="4" t="s">
        <v>812</v>
      </c>
      <c r="D43" s="4" t="s">
        <v>772</v>
      </c>
      <c r="E43" s="4" t="s">
        <v>813</v>
      </c>
      <c r="F43" s="4" t="s">
        <v>774</v>
      </c>
      <c r="G43" s="4" t="s">
        <v>814</v>
      </c>
      <c r="H43" s="4" t="s">
        <v>649</v>
      </c>
    </row>
    <row r="44" customFormat="false" ht="43.5" hidden="false" customHeight="true" outlineLevel="0" collapsed="false">
      <c r="A44" s="5" t="s">
        <v>815</v>
      </c>
      <c r="B44" s="5" t="s">
        <v>770</v>
      </c>
      <c r="C44" s="5" t="s">
        <v>816</v>
      </c>
      <c r="D44" s="5" t="s">
        <v>817</v>
      </c>
      <c r="E44" s="5" t="s">
        <v>818</v>
      </c>
      <c r="F44" s="5" t="s">
        <v>819</v>
      </c>
      <c r="G44" s="5" t="s">
        <v>820</v>
      </c>
      <c r="H44" s="5" t="s">
        <v>622</v>
      </c>
    </row>
    <row r="45" customFormat="false" ht="43.5" hidden="false" customHeight="true" outlineLevel="0" collapsed="false">
      <c r="A45" s="4" t="s">
        <v>821</v>
      </c>
      <c r="B45" s="4" t="s">
        <v>770</v>
      </c>
      <c r="C45" s="4" t="s">
        <v>822</v>
      </c>
      <c r="D45" s="4" t="s">
        <v>823</v>
      </c>
      <c r="E45" s="4" t="s">
        <v>773</v>
      </c>
      <c r="F45" s="4" t="s">
        <v>774</v>
      </c>
      <c r="G45" s="4" t="s">
        <v>793</v>
      </c>
      <c r="H45" s="4" t="s">
        <v>622</v>
      </c>
    </row>
    <row r="46" customFormat="false" ht="43.5" hidden="false" customHeight="true" outlineLevel="0" collapsed="false">
      <c r="A46" s="5" t="s">
        <v>824</v>
      </c>
      <c r="B46" s="5" t="s">
        <v>770</v>
      </c>
      <c r="C46" s="5" t="s">
        <v>825</v>
      </c>
      <c r="D46" s="5" t="s">
        <v>826</v>
      </c>
      <c r="E46" s="5" t="s">
        <v>827</v>
      </c>
      <c r="F46" s="5" t="s">
        <v>828</v>
      </c>
      <c r="G46" s="5" t="s">
        <v>829</v>
      </c>
      <c r="H46" s="5" t="s">
        <v>622</v>
      </c>
    </row>
    <row r="47" customFormat="false" ht="43.5" hidden="false" customHeight="true" outlineLevel="0" collapsed="false">
      <c r="A47" s="4" t="s">
        <v>830</v>
      </c>
      <c r="B47" s="4" t="s">
        <v>770</v>
      </c>
      <c r="C47" s="4" t="s">
        <v>831</v>
      </c>
      <c r="D47" s="4" t="s">
        <v>817</v>
      </c>
      <c r="E47" s="4" t="s">
        <v>818</v>
      </c>
      <c r="F47" s="4" t="s">
        <v>819</v>
      </c>
      <c r="G47" s="4" t="s">
        <v>832</v>
      </c>
      <c r="H47" s="4" t="s">
        <v>622</v>
      </c>
    </row>
    <row r="48" customFormat="false" ht="43.5" hidden="false" customHeight="true" outlineLevel="0" collapsed="false">
      <c r="A48" s="5" t="s">
        <v>833</v>
      </c>
      <c r="B48" s="5" t="s">
        <v>770</v>
      </c>
      <c r="C48" s="5" t="s">
        <v>834</v>
      </c>
      <c r="D48" s="5" t="s">
        <v>835</v>
      </c>
      <c r="E48" s="5" t="s">
        <v>704</v>
      </c>
      <c r="F48" s="5" t="s">
        <v>796</v>
      </c>
      <c r="G48" s="5" t="s">
        <v>836</v>
      </c>
      <c r="H48" s="5" t="s">
        <v>622</v>
      </c>
    </row>
    <row r="49" customFormat="false" ht="43.5" hidden="false" customHeight="true" outlineLevel="0" collapsed="false">
      <c r="A49" s="4" t="s">
        <v>837</v>
      </c>
      <c r="B49" s="4" t="s">
        <v>770</v>
      </c>
      <c r="C49" s="4" t="s">
        <v>838</v>
      </c>
      <c r="D49" s="4" t="s">
        <v>839</v>
      </c>
      <c r="E49" s="4" t="s">
        <v>840</v>
      </c>
      <c r="F49" s="4" t="s">
        <v>774</v>
      </c>
      <c r="G49" s="4" t="s">
        <v>841</v>
      </c>
      <c r="H49" s="4" t="s">
        <v>622</v>
      </c>
    </row>
    <row r="50" customFormat="false" ht="43.5" hidden="false" customHeight="true" outlineLevel="0" collapsed="false">
      <c r="A50" s="5" t="s">
        <v>842</v>
      </c>
      <c r="B50" s="5" t="s">
        <v>770</v>
      </c>
      <c r="C50" s="5" t="s">
        <v>843</v>
      </c>
      <c r="D50" s="5" t="s">
        <v>844</v>
      </c>
      <c r="E50" s="5" t="s">
        <v>845</v>
      </c>
      <c r="F50" s="5" t="s">
        <v>774</v>
      </c>
      <c r="G50" s="5" t="s">
        <v>846</v>
      </c>
      <c r="H50" s="5" t="s">
        <v>622</v>
      </c>
    </row>
    <row r="51" customFormat="false" ht="43.5" hidden="false" customHeight="true" outlineLevel="0" collapsed="false">
      <c r="A51" s="4" t="s">
        <v>847</v>
      </c>
      <c r="B51" s="4" t="s">
        <v>770</v>
      </c>
      <c r="C51" s="4" t="s">
        <v>848</v>
      </c>
      <c r="D51" s="4" t="s">
        <v>823</v>
      </c>
      <c r="E51" s="4" t="s">
        <v>773</v>
      </c>
      <c r="F51" s="4" t="s">
        <v>774</v>
      </c>
      <c r="G51" s="4" t="s">
        <v>793</v>
      </c>
      <c r="H51" s="4" t="s">
        <v>622</v>
      </c>
    </row>
    <row r="52" customFormat="false" ht="43.5" hidden="false" customHeight="true" outlineLevel="0" collapsed="false">
      <c r="A52" s="5" t="s">
        <v>849</v>
      </c>
      <c r="B52" s="5" t="s">
        <v>770</v>
      </c>
      <c r="C52" s="5" t="s">
        <v>850</v>
      </c>
      <c r="D52" s="5" t="s">
        <v>772</v>
      </c>
      <c r="E52" s="5" t="s">
        <v>813</v>
      </c>
      <c r="F52" s="5" t="s">
        <v>774</v>
      </c>
      <c r="G52" s="5" t="s">
        <v>789</v>
      </c>
      <c r="H52" s="5" t="s">
        <v>649</v>
      </c>
    </row>
    <row r="53" customFormat="false" ht="43.5" hidden="false" customHeight="true" outlineLevel="0" collapsed="false">
      <c r="A53" s="4" t="s">
        <v>851</v>
      </c>
      <c r="B53" s="4" t="s">
        <v>770</v>
      </c>
      <c r="C53" s="4" t="s">
        <v>852</v>
      </c>
      <c r="D53" s="4" t="s">
        <v>772</v>
      </c>
      <c r="E53" s="4" t="s">
        <v>813</v>
      </c>
      <c r="F53" s="4" t="s">
        <v>774</v>
      </c>
      <c r="G53" s="4" t="s">
        <v>793</v>
      </c>
      <c r="H53" s="4" t="s">
        <v>649</v>
      </c>
    </row>
    <row r="54" customFormat="false" ht="43.5" hidden="false" customHeight="true" outlineLevel="0" collapsed="false">
      <c r="A54" s="5" t="s">
        <v>853</v>
      </c>
      <c r="B54" s="5" t="s">
        <v>770</v>
      </c>
      <c r="C54" s="5" t="s">
        <v>854</v>
      </c>
      <c r="D54" s="5" t="s">
        <v>772</v>
      </c>
      <c r="E54" s="5" t="s">
        <v>813</v>
      </c>
      <c r="F54" s="5" t="s">
        <v>774</v>
      </c>
      <c r="G54" s="5" t="s">
        <v>793</v>
      </c>
      <c r="H54" s="5" t="s">
        <v>622</v>
      </c>
    </row>
  </sheetData>
  <autoFilter ref="A4:H4"/>
  <conditionalFormatting sqref="H5:H54">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855</v>
      </c>
    </row>
    <row r="2" customFormat="false" ht="15" hidden="false" customHeight="false" outlineLevel="0" collapsed="false">
      <c r="A2" s="2" t="s">
        <v>856</v>
      </c>
    </row>
    <row r="4" customFormat="false" ht="30" hidden="false" customHeight="true" outlineLevel="0" collapsed="false">
      <c r="A4" s="3" t="s">
        <v>857</v>
      </c>
      <c r="B4" s="3" t="s">
        <v>858</v>
      </c>
      <c r="C4" s="3" t="s">
        <v>859</v>
      </c>
      <c r="D4" s="3" t="s">
        <v>860</v>
      </c>
      <c r="E4" s="3" t="s">
        <v>861</v>
      </c>
      <c r="F4" s="3" t="s">
        <v>188</v>
      </c>
      <c r="G4" s="3" t="s">
        <v>862</v>
      </c>
      <c r="H4" s="3" t="s">
        <v>863</v>
      </c>
      <c r="I4" s="3" t="s">
        <v>864</v>
      </c>
      <c r="J4" s="3" t="s">
        <v>865</v>
      </c>
      <c r="K4" s="3" t="s">
        <v>866</v>
      </c>
      <c r="L4" s="3" t="s">
        <v>867</v>
      </c>
    </row>
    <row r="5" customFormat="false" ht="69.75" hidden="false" customHeight="true" outlineLevel="0" collapsed="false">
      <c r="A5" s="4" t="s">
        <v>193</v>
      </c>
      <c r="B5" s="4" t="s">
        <v>868</v>
      </c>
      <c r="C5" s="4" t="s">
        <v>869</v>
      </c>
      <c r="D5" s="4" t="s">
        <v>870</v>
      </c>
      <c r="E5" s="4" t="s">
        <v>871</v>
      </c>
      <c r="F5" s="4" t="s">
        <v>872</v>
      </c>
      <c r="G5" s="4" t="s">
        <v>873</v>
      </c>
      <c r="H5" s="4" t="s">
        <v>874</v>
      </c>
      <c r="I5" s="4" t="s">
        <v>875</v>
      </c>
      <c r="J5" s="4" t="s">
        <v>875</v>
      </c>
      <c r="K5" s="4" t="s">
        <v>876</v>
      </c>
      <c r="L5" s="4" t="s">
        <v>877</v>
      </c>
    </row>
    <row r="6" customFormat="false" ht="69.75" hidden="false" customHeight="true" outlineLevel="0" collapsed="false">
      <c r="A6" s="5" t="s">
        <v>878</v>
      </c>
      <c r="B6" s="5" t="s">
        <v>868</v>
      </c>
      <c r="C6" s="5" t="s">
        <v>869</v>
      </c>
      <c r="D6" s="5" t="s">
        <v>134</v>
      </c>
      <c r="E6" s="5" t="s">
        <v>879</v>
      </c>
      <c r="F6" s="5" t="s">
        <v>191</v>
      </c>
      <c r="G6" s="5" t="s">
        <v>880</v>
      </c>
      <c r="H6" s="5" t="s">
        <v>881</v>
      </c>
      <c r="I6" s="5" t="s">
        <v>875</v>
      </c>
      <c r="J6" s="5" t="s">
        <v>875</v>
      </c>
      <c r="K6" s="5" t="s">
        <v>882</v>
      </c>
      <c r="L6" s="5" t="s">
        <v>883</v>
      </c>
    </row>
    <row r="7" customFormat="false" ht="69.75" hidden="false" customHeight="true" outlineLevel="0" collapsed="false">
      <c r="A7" s="4" t="s">
        <v>884</v>
      </c>
      <c r="B7" s="4" t="s">
        <v>868</v>
      </c>
      <c r="C7" s="4" t="s">
        <v>869</v>
      </c>
      <c r="D7" s="4" t="s">
        <v>885</v>
      </c>
      <c r="E7" s="4" t="s">
        <v>886</v>
      </c>
      <c r="F7" s="4" t="s">
        <v>199</v>
      </c>
      <c r="G7" s="4" t="s">
        <v>873</v>
      </c>
      <c r="H7" s="4" t="s">
        <v>887</v>
      </c>
      <c r="I7" s="4" t="s">
        <v>875</v>
      </c>
      <c r="J7" s="4" t="s">
        <v>875</v>
      </c>
      <c r="K7" s="4" t="s">
        <v>888</v>
      </c>
      <c r="L7" s="4" t="s">
        <v>889</v>
      </c>
    </row>
    <row r="8" customFormat="false" ht="69.75" hidden="false" customHeight="true" outlineLevel="0" collapsed="false">
      <c r="A8" s="5" t="s">
        <v>890</v>
      </c>
      <c r="B8" s="5" t="s">
        <v>868</v>
      </c>
      <c r="C8" s="5" t="s">
        <v>891</v>
      </c>
      <c r="D8" s="5" t="s">
        <v>892</v>
      </c>
      <c r="E8" s="5" t="s">
        <v>893</v>
      </c>
      <c r="F8" s="5" t="s">
        <v>894</v>
      </c>
      <c r="G8" s="5" t="s">
        <v>880</v>
      </c>
      <c r="H8" s="5" t="s">
        <v>895</v>
      </c>
      <c r="I8" s="5" t="s">
        <v>875</v>
      </c>
      <c r="J8" s="5" t="s">
        <v>875</v>
      </c>
      <c r="K8" s="5" t="s">
        <v>896</v>
      </c>
      <c r="L8" s="5" t="s">
        <v>897</v>
      </c>
    </row>
    <row r="9" customFormat="false" ht="69.75" hidden="false" customHeight="true" outlineLevel="0" collapsed="false">
      <c r="A9" s="4" t="s">
        <v>898</v>
      </c>
      <c r="B9" s="4" t="s">
        <v>868</v>
      </c>
      <c r="C9" s="4" t="s">
        <v>891</v>
      </c>
      <c r="D9" s="4" t="s">
        <v>899</v>
      </c>
      <c r="E9" s="4" t="s">
        <v>900</v>
      </c>
      <c r="F9" s="4" t="s">
        <v>901</v>
      </c>
      <c r="G9" s="4" t="s">
        <v>880</v>
      </c>
      <c r="H9" s="4" t="s">
        <v>902</v>
      </c>
      <c r="I9" s="4" t="s">
        <v>903</v>
      </c>
      <c r="J9" s="4" t="s">
        <v>875</v>
      </c>
      <c r="K9" s="4" t="s">
        <v>904</v>
      </c>
      <c r="L9" s="4" t="s">
        <v>905</v>
      </c>
    </row>
    <row r="10" customFormat="false" ht="69.75" hidden="false" customHeight="true" outlineLevel="0" collapsed="false">
      <c r="A10" s="5" t="s">
        <v>906</v>
      </c>
      <c r="B10" s="5" t="s">
        <v>907</v>
      </c>
      <c r="C10" s="5" t="s">
        <v>908</v>
      </c>
      <c r="D10" s="5" t="s">
        <v>140</v>
      </c>
      <c r="E10" s="5" t="s">
        <v>909</v>
      </c>
      <c r="F10" s="5" t="s">
        <v>872</v>
      </c>
      <c r="G10" s="5" t="s">
        <v>873</v>
      </c>
      <c r="H10" s="5" t="s">
        <v>910</v>
      </c>
      <c r="I10" s="5" t="s">
        <v>875</v>
      </c>
      <c r="J10" s="5" t="s">
        <v>875</v>
      </c>
      <c r="K10" s="5" t="s">
        <v>911</v>
      </c>
      <c r="L10" s="5" t="s">
        <v>912</v>
      </c>
    </row>
    <row r="11" customFormat="false" ht="69.75" hidden="false" customHeight="true" outlineLevel="0" collapsed="false">
      <c r="A11" s="4" t="s">
        <v>913</v>
      </c>
      <c r="B11" s="4" t="s">
        <v>907</v>
      </c>
      <c r="C11" s="4" t="s">
        <v>908</v>
      </c>
      <c r="D11" s="4" t="s">
        <v>141</v>
      </c>
      <c r="E11" s="4" t="s">
        <v>914</v>
      </c>
      <c r="F11" s="4" t="s">
        <v>915</v>
      </c>
      <c r="G11" s="4" t="s">
        <v>873</v>
      </c>
      <c r="H11" s="4" t="s">
        <v>916</v>
      </c>
      <c r="I11" s="4" t="s">
        <v>875</v>
      </c>
      <c r="J11" s="4" t="s">
        <v>903</v>
      </c>
      <c r="K11" s="4" t="s">
        <v>917</v>
      </c>
      <c r="L11" s="4" t="s">
        <v>918</v>
      </c>
    </row>
    <row r="12" customFormat="false" ht="69.75" hidden="false" customHeight="true" outlineLevel="0" collapsed="false">
      <c r="A12" s="5" t="s">
        <v>919</v>
      </c>
      <c r="B12" s="5" t="s">
        <v>907</v>
      </c>
      <c r="C12" s="5" t="s">
        <v>908</v>
      </c>
      <c r="D12" s="5" t="s">
        <v>920</v>
      </c>
      <c r="E12" s="5" t="s">
        <v>921</v>
      </c>
      <c r="F12" s="5" t="s">
        <v>922</v>
      </c>
      <c r="G12" s="5" t="s">
        <v>873</v>
      </c>
      <c r="H12" s="5" t="s">
        <v>923</v>
      </c>
      <c r="I12" s="5" t="s">
        <v>875</v>
      </c>
      <c r="J12" s="5" t="s">
        <v>875</v>
      </c>
      <c r="K12" s="5" t="s">
        <v>924</v>
      </c>
      <c r="L12" s="5" t="s">
        <v>925</v>
      </c>
    </row>
    <row r="13" customFormat="false" ht="69.75" hidden="false" customHeight="true" outlineLevel="0" collapsed="false">
      <c r="A13" s="4" t="s">
        <v>926</v>
      </c>
      <c r="B13" s="4" t="s">
        <v>907</v>
      </c>
      <c r="C13" s="4" t="s">
        <v>927</v>
      </c>
      <c r="D13" s="4" t="s">
        <v>928</v>
      </c>
      <c r="E13" s="4" t="s">
        <v>929</v>
      </c>
      <c r="F13" s="4" t="s">
        <v>930</v>
      </c>
      <c r="G13" s="4" t="s">
        <v>873</v>
      </c>
      <c r="H13" s="4" t="s">
        <v>931</v>
      </c>
      <c r="I13" s="4" t="s">
        <v>875</v>
      </c>
      <c r="J13" s="4" t="s">
        <v>875</v>
      </c>
      <c r="K13" s="4" t="s">
        <v>932</v>
      </c>
      <c r="L13" s="4" t="s">
        <v>933</v>
      </c>
    </row>
    <row r="14" customFormat="false" ht="69.75" hidden="false" customHeight="true" outlineLevel="0" collapsed="false">
      <c r="A14" s="5" t="s">
        <v>934</v>
      </c>
      <c r="B14" s="5" t="s">
        <v>935</v>
      </c>
      <c r="C14" s="5" t="s">
        <v>936</v>
      </c>
      <c r="D14" s="5" t="s">
        <v>937</v>
      </c>
      <c r="E14" s="5" t="s">
        <v>938</v>
      </c>
      <c r="F14" s="5" t="s">
        <v>939</v>
      </c>
      <c r="G14" s="5" t="s">
        <v>873</v>
      </c>
      <c r="H14" s="5" t="s">
        <v>940</v>
      </c>
      <c r="I14" s="5" t="s">
        <v>875</v>
      </c>
      <c r="J14" s="5" t="s">
        <v>875</v>
      </c>
      <c r="K14" s="5" t="s">
        <v>941</v>
      </c>
      <c r="L14" s="5" t="s">
        <v>942</v>
      </c>
    </row>
    <row r="15" customFormat="false" ht="69.75" hidden="false" customHeight="true" outlineLevel="0" collapsed="false">
      <c r="A15" s="4" t="s">
        <v>204</v>
      </c>
      <c r="B15" s="4" t="s">
        <v>935</v>
      </c>
      <c r="C15" s="4" t="s">
        <v>936</v>
      </c>
      <c r="D15" s="4" t="s">
        <v>943</v>
      </c>
      <c r="E15" s="4" t="s">
        <v>944</v>
      </c>
      <c r="F15" s="4" t="s">
        <v>945</v>
      </c>
      <c r="G15" s="4" t="s">
        <v>880</v>
      </c>
      <c r="H15" s="4" t="s">
        <v>946</v>
      </c>
      <c r="I15" s="4" t="s">
        <v>903</v>
      </c>
      <c r="J15" s="4" t="s">
        <v>875</v>
      </c>
      <c r="K15" s="4" t="s">
        <v>947</v>
      </c>
      <c r="L15" s="4" t="s">
        <v>948</v>
      </c>
    </row>
    <row r="16" customFormat="false" ht="69.75" hidden="false" customHeight="true" outlineLevel="0" collapsed="false">
      <c r="A16" s="5" t="s">
        <v>949</v>
      </c>
      <c r="B16" s="5" t="s">
        <v>935</v>
      </c>
      <c r="C16" s="5" t="s">
        <v>936</v>
      </c>
      <c r="D16" s="5" t="s">
        <v>950</v>
      </c>
      <c r="E16" s="5" t="s">
        <v>951</v>
      </c>
      <c r="F16" s="5" t="s">
        <v>922</v>
      </c>
      <c r="G16" s="5" t="s">
        <v>873</v>
      </c>
      <c r="H16" s="5" t="s">
        <v>952</v>
      </c>
      <c r="I16" s="5" t="s">
        <v>875</v>
      </c>
      <c r="J16" s="5" t="s">
        <v>875</v>
      </c>
      <c r="K16" s="5" t="s">
        <v>953</v>
      </c>
      <c r="L16" s="5" t="s">
        <v>954</v>
      </c>
    </row>
    <row r="17" customFormat="false" ht="69.75" hidden="false" customHeight="true" outlineLevel="0" collapsed="false">
      <c r="A17" s="4" t="s">
        <v>955</v>
      </c>
      <c r="B17" s="4" t="s">
        <v>935</v>
      </c>
      <c r="C17" s="4" t="s">
        <v>956</v>
      </c>
      <c r="D17" s="4" t="s">
        <v>957</v>
      </c>
      <c r="E17" s="4" t="s">
        <v>958</v>
      </c>
      <c r="F17" s="4" t="s">
        <v>959</v>
      </c>
      <c r="G17" s="4" t="s">
        <v>873</v>
      </c>
      <c r="H17" s="4" t="s">
        <v>960</v>
      </c>
      <c r="I17" s="4" t="s">
        <v>875</v>
      </c>
      <c r="J17" s="4" t="s">
        <v>875</v>
      </c>
      <c r="K17" s="4" t="s">
        <v>961</v>
      </c>
      <c r="L17" s="4" t="s">
        <v>962</v>
      </c>
    </row>
    <row r="18" customFormat="false" ht="69.75" hidden="false" customHeight="true" outlineLevel="0" collapsed="false">
      <c r="A18" s="5" t="s">
        <v>196</v>
      </c>
      <c r="B18" s="5" t="s">
        <v>963</v>
      </c>
      <c r="C18" s="5" t="s">
        <v>964</v>
      </c>
      <c r="D18" s="5" t="s">
        <v>965</v>
      </c>
      <c r="E18" s="5" t="s">
        <v>966</v>
      </c>
      <c r="F18" s="5" t="s">
        <v>967</v>
      </c>
      <c r="G18" s="5" t="s">
        <v>873</v>
      </c>
      <c r="H18" s="5" t="s">
        <v>968</v>
      </c>
      <c r="I18" s="5" t="s">
        <v>875</v>
      </c>
      <c r="J18" s="5" t="s">
        <v>875</v>
      </c>
      <c r="K18" s="5" t="s">
        <v>969</v>
      </c>
      <c r="L18" s="5" t="s">
        <v>970</v>
      </c>
    </row>
    <row r="19" customFormat="false" ht="69.75" hidden="false" customHeight="true" outlineLevel="0" collapsed="false">
      <c r="A19" s="4" t="s">
        <v>971</v>
      </c>
      <c r="B19" s="4" t="s">
        <v>963</v>
      </c>
      <c r="C19" s="4" t="s">
        <v>972</v>
      </c>
      <c r="D19" s="4" t="s">
        <v>973</v>
      </c>
      <c r="E19" s="4" t="s">
        <v>974</v>
      </c>
      <c r="F19" s="4" t="s">
        <v>975</v>
      </c>
      <c r="G19" s="4" t="s">
        <v>873</v>
      </c>
      <c r="H19" s="4" t="s">
        <v>976</v>
      </c>
      <c r="I19" s="4" t="s">
        <v>875</v>
      </c>
      <c r="J19" s="4" t="s">
        <v>875</v>
      </c>
      <c r="K19" s="4" t="s">
        <v>977</v>
      </c>
      <c r="L19" s="4" t="s">
        <v>978</v>
      </c>
    </row>
    <row r="20" customFormat="false" ht="69.75" hidden="false" customHeight="true" outlineLevel="0" collapsed="false">
      <c r="A20" s="5" t="s">
        <v>979</v>
      </c>
      <c r="B20" s="5" t="s">
        <v>963</v>
      </c>
      <c r="C20" s="5" t="s">
        <v>972</v>
      </c>
      <c r="D20" s="5" t="s">
        <v>980</v>
      </c>
      <c r="E20" s="5" t="s">
        <v>981</v>
      </c>
      <c r="F20" s="5" t="s">
        <v>982</v>
      </c>
      <c r="G20" s="5" t="s">
        <v>880</v>
      </c>
      <c r="H20" s="5" t="s">
        <v>983</v>
      </c>
      <c r="I20" s="5" t="s">
        <v>875</v>
      </c>
      <c r="J20" s="5" t="s">
        <v>875</v>
      </c>
      <c r="K20" s="5" t="s">
        <v>984</v>
      </c>
      <c r="L20" s="5" t="s">
        <v>985</v>
      </c>
    </row>
    <row r="21" customFormat="false" ht="69.75" hidden="false" customHeight="true" outlineLevel="0" collapsed="false">
      <c r="A21" s="4" t="s">
        <v>206</v>
      </c>
      <c r="B21" s="4" t="s">
        <v>986</v>
      </c>
      <c r="C21" s="4" t="s">
        <v>987</v>
      </c>
      <c r="D21" s="4" t="s">
        <v>988</v>
      </c>
      <c r="E21" s="4" t="s">
        <v>989</v>
      </c>
      <c r="F21" s="4" t="s">
        <v>990</v>
      </c>
      <c r="G21" s="4" t="s">
        <v>873</v>
      </c>
      <c r="H21" s="4" t="s">
        <v>991</v>
      </c>
      <c r="I21" s="4" t="s">
        <v>875</v>
      </c>
      <c r="J21" s="4" t="s">
        <v>875</v>
      </c>
      <c r="K21" s="4" t="s">
        <v>992</v>
      </c>
      <c r="L21" s="4" t="s">
        <v>993</v>
      </c>
    </row>
    <row r="22" customFormat="false" ht="69.75" hidden="false" customHeight="true" outlineLevel="0" collapsed="false">
      <c r="A22" s="5" t="s">
        <v>209</v>
      </c>
      <c r="B22" s="5" t="s">
        <v>986</v>
      </c>
      <c r="C22" s="5" t="s">
        <v>994</v>
      </c>
      <c r="D22" s="5" t="s">
        <v>146</v>
      </c>
      <c r="E22" s="5" t="s">
        <v>995</v>
      </c>
      <c r="F22" s="5" t="s">
        <v>996</v>
      </c>
      <c r="G22" s="5" t="s">
        <v>873</v>
      </c>
      <c r="H22" s="5" t="s">
        <v>997</v>
      </c>
      <c r="I22" s="5" t="s">
        <v>875</v>
      </c>
      <c r="J22" s="5" t="s">
        <v>875</v>
      </c>
      <c r="K22" s="5" t="s">
        <v>998</v>
      </c>
      <c r="L22" s="5" t="s">
        <v>999</v>
      </c>
    </row>
    <row r="23" customFormat="false" ht="69.75" hidden="false" customHeight="true" outlineLevel="0" collapsed="false">
      <c r="A23" s="4" t="s">
        <v>212</v>
      </c>
      <c r="B23" s="4" t="s">
        <v>986</v>
      </c>
      <c r="C23" s="4" t="s">
        <v>1000</v>
      </c>
      <c r="D23" s="4" t="s">
        <v>1001</v>
      </c>
      <c r="E23" s="4" t="s">
        <v>1002</v>
      </c>
      <c r="F23" s="4" t="s">
        <v>1003</v>
      </c>
      <c r="G23" s="4" t="s">
        <v>873</v>
      </c>
      <c r="H23" s="4" t="s">
        <v>1004</v>
      </c>
      <c r="I23" s="4" t="s">
        <v>875</v>
      </c>
      <c r="J23" s="4" t="s">
        <v>875</v>
      </c>
      <c r="K23" s="4" t="s">
        <v>1005</v>
      </c>
      <c r="L23" s="4" t="s">
        <v>1006</v>
      </c>
    </row>
    <row r="24" customFormat="false" ht="69.75" hidden="false" customHeight="true" outlineLevel="0" collapsed="false">
      <c r="A24" s="5" t="s">
        <v>214</v>
      </c>
      <c r="B24" s="5" t="s">
        <v>1007</v>
      </c>
      <c r="C24" s="5" t="s">
        <v>1008</v>
      </c>
      <c r="D24" s="5" t="s">
        <v>148</v>
      </c>
      <c r="E24" s="5" t="s">
        <v>1009</v>
      </c>
      <c r="F24" s="5" t="s">
        <v>930</v>
      </c>
      <c r="G24" s="5" t="s">
        <v>880</v>
      </c>
      <c r="H24" s="5" t="s">
        <v>1010</v>
      </c>
      <c r="I24" s="5" t="s">
        <v>903</v>
      </c>
      <c r="J24" s="5" t="s">
        <v>875</v>
      </c>
      <c r="K24" s="5" t="s">
        <v>1011</v>
      </c>
      <c r="L24" s="5" t="s">
        <v>1012</v>
      </c>
    </row>
    <row r="25" customFormat="false" ht="69.75" hidden="false" customHeight="true" outlineLevel="0" collapsed="false">
      <c r="A25" s="4" t="s">
        <v>1013</v>
      </c>
      <c r="B25" s="4" t="s">
        <v>1007</v>
      </c>
      <c r="C25" s="4" t="s">
        <v>1014</v>
      </c>
      <c r="D25" s="4" t="s">
        <v>149</v>
      </c>
      <c r="E25" s="4" t="s">
        <v>1015</v>
      </c>
      <c r="F25" s="4" t="s">
        <v>1016</v>
      </c>
      <c r="G25" s="4" t="s">
        <v>873</v>
      </c>
      <c r="H25" s="4" t="s">
        <v>1017</v>
      </c>
      <c r="I25" s="4" t="s">
        <v>875</v>
      </c>
      <c r="J25" s="4" t="s">
        <v>875</v>
      </c>
      <c r="K25" s="4" t="s">
        <v>1018</v>
      </c>
      <c r="L25" s="4" t="s">
        <v>1019</v>
      </c>
    </row>
    <row r="26" customFormat="false" ht="69.75" hidden="false" customHeight="true" outlineLevel="0" collapsed="false">
      <c r="A26" s="5" t="s">
        <v>1020</v>
      </c>
      <c r="B26" s="5" t="s">
        <v>1007</v>
      </c>
      <c r="C26" s="5" t="s">
        <v>1014</v>
      </c>
      <c r="D26" s="5" t="s">
        <v>1021</v>
      </c>
      <c r="E26" s="5" t="s">
        <v>1022</v>
      </c>
      <c r="F26" s="5" t="s">
        <v>990</v>
      </c>
      <c r="G26" s="5" t="s">
        <v>873</v>
      </c>
      <c r="H26" s="5" t="s">
        <v>1023</v>
      </c>
      <c r="I26" s="5" t="s">
        <v>875</v>
      </c>
      <c r="J26" s="5" t="s">
        <v>875</v>
      </c>
      <c r="K26" s="5" t="s">
        <v>1024</v>
      </c>
      <c r="L26" s="5" t="s">
        <v>1025</v>
      </c>
    </row>
    <row r="27" customFormat="false" ht="69.75" hidden="false" customHeight="true" outlineLevel="0" collapsed="false">
      <c r="A27" s="4" t="s">
        <v>217</v>
      </c>
      <c r="B27" s="4" t="s">
        <v>1007</v>
      </c>
      <c r="C27" s="4" t="s">
        <v>1014</v>
      </c>
      <c r="D27" s="4" t="s">
        <v>150</v>
      </c>
      <c r="E27" s="4" t="s">
        <v>1026</v>
      </c>
      <c r="F27" s="4" t="s">
        <v>191</v>
      </c>
      <c r="G27" s="4" t="s">
        <v>873</v>
      </c>
      <c r="H27" s="4" t="s">
        <v>1027</v>
      </c>
      <c r="I27" s="4" t="s">
        <v>875</v>
      </c>
      <c r="J27" s="4" t="s">
        <v>875</v>
      </c>
      <c r="K27" s="4" t="s">
        <v>1028</v>
      </c>
      <c r="L27" s="4" t="s">
        <v>1029</v>
      </c>
    </row>
    <row r="28" customFormat="false" ht="69.75" hidden="false" customHeight="true" outlineLevel="0" collapsed="false">
      <c r="A28" s="5" t="s">
        <v>220</v>
      </c>
      <c r="B28" s="5" t="s">
        <v>1007</v>
      </c>
      <c r="C28" s="5" t="s">
        <v>1030</v>
      </c>
      <c r="D28" s="5" t="s">
        <v>151</v>
      </c>
      <c r="E28" s="5" t="s">
        <v>1031</v>
      </c>
      <c r="F28" s="5" t="s">
        <v>1032</v>
      </c>
      <c r="G28" s="5" t="s">
        <v>880</v>
      </c>
      <c r="H28" s="5" t="s">
        <v>1033</v>
      </c>
      <c r="I28" s="5" t="s">
        <v>875</v>
      </c>
      <c r="J28" s="5" t="s">
        <v>875</v>
      </c>
      <c r="K28" s="5" t="s">
        <v>1034</v>
      </c>
      <c r="L28" s="5" t="s">
        <v>1035</v>
      </c>
    </row>
    <row r="29" customFormat="false" ht="69.75" hidden="false" customHeight="true" outlineLevel="0" collapsed="false">
      <c r="A29" s="4" t="s">
        <v>222</v>
      </c>
      <c r="B29" s="4" t="s">
        <v>1036</v>
      </c>
      <c r="C29" s="4" t="s">
        <v>1037</v>
      </c>
      <c r="D29" s="4" t="s">
        <v>152</v>
      </c>
      <c r="E29" s="4" t="s">
        <v>1038</v>
      </c>
      <c r="F29" s="4" t="s">
        <v>1039</v>
      </c>
      <c r="G29" s="4" t="s">
        <v>873</v>
      </c>
      <c r="H29" s="4" t="s">
        <v>1040</v>
      </c>
      <c r="I29" s="4" t="s">
        <v>875</v>
      </c>
      <c r="J29" s="4" t="s">
        <v>875</v>
      </c>
      <c r="K29" s="4" t="s">
        <v>1041</v>
      </c>
      <c r="L29" s="4" t="s">
        <v>1042</v>
      </c>
    </row>
    <row r="30" customFormat="false" ht="69.75" hidden="false" customHeight="true" outlineLevel="0" collapsed="false">
      <c r="A30" s="5" t="s">
        <v>224</v>
      </c>
      <c r="B30" s="5" t="s">
        <v>1036</v>
      </c>
      <c r="C30" s="5" t="s">
        <v>1043</v>
      </c>
      <c r="D30" s="5" t="s">
        <v>153</v>
      </c>
      <c r="E30" s="5" t="s">
        <v>1044</v>
      </c>
      <c r="F30" s="5" t="s">
        <v>1045</v>
      </c>
      <c r="G30" s="5" t="s">
        <v>873</v>
      </c>
      <c r="H30" s="5" t="s">
        <v>1046</v>
      </c>
      <c r="I30" s="5" t="s">
        <v>875</v>
      </c>
      <c r="J30" s="5" t="s">
        <v>875</v>
      </c>
      <c r="K30" s="5" t="s">
        <v>1047</v>
      </c>
      <c r="L30" s="5" t="s">
        <v>1048</v>
      </c>
    </row>
    <row r="31" customFormat="false" ht="69.75" hidden="false" customHeight="true" outlineLevel="0" collapsed="false">
      <c r="A31" s="4" t="s">
        <v>227</v>
      </c>
      <c r="B31" s="4" t="s">
        <v>1036</v>
      </c>
      <c r="C31" s="4" t="s">
        <v>1049</v>
      </c>
      <c r="D31" s="4" t="s">
        <v>1050</v>
      </c>
      <c r="E31" s="4" t="s">
        <v>1051</v>
      </c>
      <c r="F31" s="4" t="s">
        <v>1003</v>
      </c>
      <c r="G31" s="4" t="s">
        <v>873</v>
      </c>
      <c r="H31" s="4" t="s">
        <v>1052</v>
      </c>
      <c r="I31" s="4" t="s">
        <v>875</v>
      </c>
      <c r="J31" s="4" t="s">
        <v>875</v>
      </c>
      <c r="K31" s="4" t="s">
        <v>1053</v>
      </c>
      <c r="L31" s="4" t="s">
        <v>1054</v>
      </c>
    </row>
    <row r="32" customFormat="false" ht="69.75" hidden="false" customHeight="true" outlineLevel="0" collapsed="false">
      <c r="A32" s="5" t="s">
        <v>229</v>
      </c>
      <c r="B32" s="5" t="s">
        <v>1036</v>
      </c>
      <c r="C32" s="5" t="s">
        <v>1049</v>
      </c>
      <c r="D32" s="5" t="s">
        <v>155</v>
      </c>
      <c r="E32" s="5" t="s">
        <v>1055</v>
      </c>
      <c r="F32" s="5" t="s">
        <v>1056</v>
      </c>
      <c r="G32" s="5" t="s">
        <v>873</v>
      </c>
      <c r="H32" s="5" t="s">
        <v>1057</v>
      </c>
      <c r="I32" s="5" t="s">
        <v>875</v>
      </c>
      <c r="J32" s="5" t="s">
        <v>875</v>
      </c>
      <c r="K32" s="5" t="s">
        <v>1058</v>
      </c>
      <c r="L32" s="5" t="s">
        <v>1059</v>
      </c>
    </row>
    <row r="33" customFormat="false" ht="69.75" hidden="false" customHeight="true" outlineLevel="0" collapsed="false">
      <c r="A33" s="4" t="s">
        <v>232</v>
      </c>
      <c r="B33" s="4" t="s">
        <v>1036</v>
      </c>
      <c r="C33" s="4" t="s">
        <v>1060</v>
      </c>
      <c r="D33" s="4" t="s">
        <v>1061</v>
      </c>
      <c r="E33" s="4" t="s">
        <v>1062</v>
      </c>
      <c r="F33" s="4" t="s">
        <v>930</v>
      </c>
      <c r="G33" s="4" t="s">
        <v>873</v>
      </c>
      <c r="H33" s="4" t="s">
        <v>1063</v>
      </c>
      <c r="I33" s="4" t="s">
        <v>875</v>
      </c>
      <c r="J33" s="4" t="s">
        <v>875</v>
      </c>
      <c r="K33" s="4" t="s">
        <v>1064</v>
      </c>
      <c r="L33" s="4" t="s">
        <v>1065</v>
      </c>
    </row>
    <row r="34" customFormat="false" ht="69.75" hidden="false" customHeight="true" outlineLevel="0" collapsed="false">
      <c r="A34" s="5" t="s">
        <v>234</v>
      </c>
      <c r="B34" s="5" t="s">
        <v>1036</v>
      </c>
      <c r="C34" s="5" t="s">
        <v>1060</v>
      </c>
      <c r="D34" s="5" t="s">
        <v>1066</v>
      </c>
      <c r="E34" s="5" t="s">
        <v>1067</v>
      </c>
      <c r="F34" s="5" t="s">
        <v>216</v>
      </c>
      <c r="G34" s="5" t="s">
        <v>873</v>
      </c>
      <c r="H34" s="5" t="s">
        <v>1068</v>
      </c>
      <c r="I34" s="5" t="s">
        <v>875</v>
      </c>
      <c r="J34" s="5" t="s">
        <v>875</v>
      </c>
      <c r="K34" s="5" t="s">
        <v>1069</v>
      </c>
      <c r="L34" s="5" t="s">
        <v>1070</v>
      </c>
    </row>
    <row r="35" customFormat="false" ht="69.75" hidden="false" customHeight="true" outlineLevel="0" collapsed="false">
      <c r="A35" s="4" t="s">
        <v>236</v>
      </c>
      <c r="B35" s="4" t="s">
        <v>1036</v>
      </c>
      <c r="C35" s="4" t="s">
        <v>1071</v>
      </c>
      <c r="D35" s="4" t="s">
        <v>1072</v>
      </c>
      <c r="E35" s="4" t="s">
        <v>1073</v>
      </c>
      <c r="F35" s="4" t="s">
        <v>1074</v>
      </c>
      <c r="G35" s="4" t="s">
        <v>880</v>
      </c>
      <c r="H35" s="4" t="s">
        <v>1075</v>
      </c>
      <c r="I35" s="4" t="s">
        <v>875</v>
      </c>
      <c r="J35" s="4" t="s">
        <v>875</v>
      </c>
      <c r="K35" s="4" t="s">
        <v>1076</v>
      </c>
      <c r="L35" s="4" t="s">
        <v>1077</v>
      </c>
    </row>
    <row r="36" customFormat="false" ht="69.75" hidden="false" customHeight="true" outlineLevel="0" collapsed="false">
      <c r="A36" s="5" t="s">
        <v>1078</v>
      </c>
      <c r="B36" s="5" t="s">
        <v>1079</v>
      </c>
      <c r="C36" s="5" t="s">
        <v>1080</v>
      </c>
      <c r="D36" s="5" t="s">
        <v>1081</v>
      </c>
      <c r="E36" s="5" t="s">
        <v>1082</v>
      </c>
      <c r="F36" s="5" t="s">
        <v>1083</v>
      </c>
      <c r="G36" s="5" t="s">
        <v>873</v>
      </c>
      <c r="H36" s="5" t="s">
        <v>1084</v>
      </c>
      <c r="I36" s="5" t="s">
        <v>875</v>
      </c>
      <c r="J36" s="5" t="s">
        <v>875</v>
      </c>
      <c r="K36" s="5" t="s">
        <v>1085</v>
      </c>
      <c r="L36" s="5" t="s">
        <v>1086</v>
      </c>
    </row>
    <row r="37" customFormat="false" ht="69.75" hidden="false" customHeight="true" outlineLevel="0" collapsed="false">
      <c r="A37" s="4" t="s">
        <v>242</v>
      </c>
      <c r="B37" s="4" t="s">
        <v>1079</v>
      </c>
      <c r="C37" s="4" t="s">
        <v>1080</v>
      </c>
      <c r="D37" s="4" t="s">
        <v>1087</v>
      </c>
      <c r="E37" s="4" t="s">
        <v>1088</v>
      </c>
      <c r="F37" s="4" t="s">
        <v>1089</v>
      </c>
      <c r="G37" s="4" t="s">
        <v>880</v>
      </c>
      <c r="H37" s="4" t="s">
        <v>1090</v>
      </c>
      <c r="I37" s="4" t="s">
        <v>875</v>
      </c>
      <c r="J37" s="4" t="s">
        <v>875</v>
      </c>
      <c r="K37" s="4" t="s">
        <v>1091</v>
      </c>
      <c r="L37" s="4" t="s">
        <v>1092</v>
      </c>
    </row>
    <row r="38" customFormat="false" ht="69.75" hidden="false" customHeight="true" outlineLevel="0" collapsed="false">
      <c r="A38" s="5" t="s">
        <v>1093</v>
      </c>
      <c r="B38" s="5" t="s">
        <v>1079</v>
      </c>
      <c r="C38" s="5" t="s">
        <v>1094</v>
      </c>
      <c r="D38" s="5" t="s">
        <v>1095</v>
      </c>
      <c r="E38" s="5" t="s">
        <v>1096</v>
      </c>
      <c r="F38" s="5" t="s">
        <v>1097</v>
      </c>
      <c r="G38" s="5" t="s">
        <v>873</v>
      </c>
      <c r="H38" s="5" t="s">
        <v>1098</v>
      </c>
      <c r="I38" s="5" t="s">
        <v>875</v>
      </c>
      <c r="J38" s="5" t="s">
        <v>875</v>
      </c>
      <c r="K38" s="5" t="s">
        <v>1099</v>
      </c>
      <c r="L38" s="5" t="s">
        <v>1100</v>
      </c>
    </row>
    <row r="39" customFormat="false" ht="69.75" hidden="false" customHeight="true" outlineLevel="0" collapsed="false">
      <c r="A39" s="4" t="s">
        <v>1101</v>
      </c>
      <c r="B39" s="4" t="s">
        <v>1079</v>
      </c>
      <c r="C39" s="4" t="s">
        <v>1094</v>
      </c>
      <c r="D39" s="4" t="s">
        <v>1102</v>
      </c>
      <c r="E39" s="4" t="s">
        <v>1103</v>
      </c>
      <c r="F39" s="4" t="s">
        <v>1104</v>
      </c>
      <c r="G39" s="4" t="s">
        <v>1105</v>
      </c>
      <c r="H39" s="4" t="s">
        <v>1106</v>
      </c>
      <c r="I39" s="4" t="s">
        <v>903</v>
      </c>
      <c r="J39" s="4" t="s">
        <v>903</v>
      </c>
      <c r="K39" s="4" t="s">
        <v>1107</v>
      </c>
      <c r="L39" s="4" t="s">
        <v>1108</v>
      </c>
    </row>
    <row r="40" customFormat="false" ht="69.75" hidden="false" customHeight="true" outlineLevel="0" collapsed="false">
      <c r="A40" s="5" t="s">
        <v>246</v>
      </c>
      <c r="B40" s="5" t="s">
        <v>1109</v>
      </c>
      <c r="C40" s="5" t="s">
        <v>1110</v>
      </c>
      <c r="D40" s="5" t="s">
        <v>1111</v>
      </c>
      <c r="E40" s="5" t="s">
        <v>1112</v>
      </c>
      <c r="F40" s="5" t="s">
        <v>247</v>
      </c>
      <c r="G40" s="5" t="s">
        <v>873</v>
      </c>
      <c r="H40" s="5" t="s">
        <v>1113</v>
      </c>
      <c r="I40" s="5" t="s">
        <v>875</v>
      </c>
      <c r="J40" s="5" t="s">
        <v>903</v>
      </c>
      <c r="K40" s="5" t="s">
        <v>1114</v>
      </c>
      <c r="L40" s="5" t="s">
        <v>1115</v>
      </c>
    </row>
    <row r="41" customFormat="false" ht="69.75" hidden="false" customHeight="true" outlineLevel="0" collapsed="false">
      <c r="A41" s="4" t="s">
        <v>249</v>
      </c>
      <c r="B41" s="4" t="s">
        <v>1109</v>
      </c>
      <c r="C41" s="4" t="s">
        <v>1116</v>
      </c>
      <c r="D41" s="4" t="s">
        <v>164</v>
      </c>
      <c r="E41" s="4" t="s">
        <v>1117</v>
      </c>
      <c r="F41" s="4" t="s">
        <v>1118</v>
      </c>
      <c r="G41" s="4" t="s">
        <v>873</v>
      </c>
      <c r="H41" s="4" t="s">
        <v>1119</v>
      </c>
      <c r="I41" s="4" t="s">
        <v>875</v>
      </c>
      <c r="J41" s="4" t="s">
        <v>875</v>
      </c>
      <c r="K41" s="4" t="s">
        <v>1120</v>
      </c>
      <c r="L41" s="4" t="s">
        <v>1121</v>
      </c>
    </row>
    <row r="42" customFormat="false" ht="69.75" hidden="false" customHeight="true" outlineLevel="0" collapsed="false">
      <c r="A42" s="5" t="s">
        <v>251</v>
      </c>
      <c r="B42" s="5" t="s">
        <v>1109</v>
      </c>
      <c r="C42" s="5" t="s">
        <v>1122</v>
      </c>
      <c r="D42" s="5" t="s">
        <v>165</v>
      </c>
      <c r="E42" s="5" t="s">
        <v>1123</v>
      </c>
      <c r="F42" s="5" t="s">
        <v>1124</v>
      </c>
      <c r="G42" s="5" t="s">
        <v>873</v>
      </c>
      <c r="H42" s="5" t="s">
        <v>1125</v>
      </c>
      <c r="I42" s="5" t="s">
        <v>875</v>
      </c>
      <c r="J42" s="5" t="s">
        <v>875</v>
      </c>
      <c r="K42" s="5" t="s">
        <v>1126</v>
      </c>
      <c r="L42" s="5" t="s">
        <v>1127</v>
      </c>
    </row>
    <row r="43" customFormat="false" ht="69.75" hidden="false" customHeight="true" outlineLevel="0" collapsed="false">
      <c r="A43" s="4" t="s">
        <v>253</v>
      </c>
      <c r="B43" s="4" t="s">
        <v>1109</v>
      </c>
      <c r="C43" s="4" t="s">
        <v>1128</v>
      </c>
      <c r="D43" s="4" t="s">
        <v>1129</v>
      </c>
      <c r="E43" s="4" t="s">
        <v>1130</v>
      </c>
      <c r="F43" s="4" t="s">
        <v>1131</v>
      </c>
      <c r="G43" s="4" t="s">
        <v>880</v>
      </c>
      <c r="H43" s="4" t="s">
        <v>1132</v>
      </c>
      <c r="I43" s="4" t="s">
        <v>875</v>
      </c>
      <c r="J43" s="4" t="s">
        <v>903</v>
      </c>
      <c r="K43" s="4" t="s">
        <v>1133</v>
      </c>
      <c r="L43" s="4" t="s">
        <v>1134</v>
      </c>
    </row>
    <row r="44" customFormat="false" ht="69.75" hidden="false" customHeight="true" outlineLevel="0" collapsed="false">
      <c r="A44" s="5" t="s">
        <v>256</v>
      </c>
      <c r="B44" s="5" t="s">
        <v>1109</v>
      </c>
      <c r="C44" s="5" t="s">
        <v>1135</v>
      </c>
      <c r="D44" s="5" t="s">
        <v>1136</v>
      </c>
      <c r="E44" s="5" t="s">
        <v>1137</v>
      </c>
      <c r="F44" s="5" t="s">
        <v>1138</v>
      </c>
      <c r="G44" s="5" t="s">
        <v>1139</v>
      </c>
      <c r="H44" s="5" t="s">
        <v>1140</v>
      </c>
      <c r="I44" s="5" t="s">
        <v>903</v>
      </c>
      <c r="J44" s="5" t="s">
        <v>903</v>
      </c>
      <c r="K44" s="5" t="s">
        <v>1141</v>
      </c>
      <c r="L44" s="5" t="s">
        <v>1142</v>
      </c>
    </row>
    <row r="45" customFormat="false" ht="69.75" hidden="false" customHeight="true" outlineLevel="0" collapsed="false">
      <c r="A45" s="4" t="s">
        <v>259</v>
      </c>
      <c r="B45" s="4" t="s">
        <v>1109</v>
      </c>
      <c r="C45" s="4" t="s">
        <v>1143</v>
      </c>
      <c r="D45" s="4" t="s">
        <v>1144</v>
      </c>
      <c r="E45" s="4" t="s">
        <v>1145</v>
      </c>
      <c r="F45" s="4" t="s">
        <v>1146</v>
      </c>
      <c r="G45" s="4" t="s">
        <v>873</v>
      </c>
      <c r="H45" s="4" t="s">
        <v>1147</v>
      </c>
      <c r="I45" s="4" t="s">
        <v>875</v>
      </c>
      <c r="J45" s="4" t="s">
        <v>875</v>
      </c>
      <c r="K45" s="4" t="s">
        <v>1148</v>
      </c>
      <c r="L45" s="4" t="s">
        <v>1149</v>
      </c>
    </row>
    <row r="46" customFormat="false" ht="69.75" hidden="false" customHeight="true" outlineLevel="0" collapsed="false">
      <c r="A46" s="5" t="s">
        <v>261</v>
      </c>
      <c r="B46" s="5" t="s">
        <v>1150</v>
      </c>
      <c r="C46" s="5" t="s">
        <v>1151</v>
      </c>
      <c r="D46" s="5" t="s">
        <v>1152</v>
      </c>
      <c r="E46" s="5" t="s">
        <v>1153</v>
      </c>
      <c r="F46" s="5" t="s">
        <v>1154</v>
      </c>
      <c r="G46" s="5" t="s">
        <v>873</v>
      </c>
      <c r="H46" s="5" t="s">
        <v>1155</v>
      </c>
      <c r="I46" s="5" t="s">
        <v>875</v>
      </c>
      <c r="J46" s="5" t="s">
        <v>875</v>
      </c>
      <c r="K46" s="5" t="s">
        <v>1156</v>
      </c>
      <c r="L46" s="5" t="s">
        <v>1157</v>
      </c>
    </row>
    <row r="47" customFormat="false" ht="69.75" hidden="false" customHeight="true" outlineLevel="0" collapsed="false">
      <c r="A47" s="4" t="s">
        <v>263</v>
      </c>
      <c r="B47" s="4" t="s">
        <v>1150</v>
      </c>
      <c r="C47" s="4" t="s">
        <v>1158</v>
      </c>
      <c r="D47" s="4" t="s">
        <v>170</v>
      </c>
      <c r="E47" s="4" t="s">
        <v>1159</v>
      </c>
      <c r="F47" s="4" t="s">
        <v>1160</v>
      </c>
      <c r="G47" s="4" t="s">
        <v>880</v>
      </c>
      <c r="H47" s="4" t="s">
        <v>1161</v>
      </c>
      <c r="I47" s="4" t="s">
        <v>875</v>
      </c>
      <c r="J47" s="4" t="s">
        <v>903</v>
      </c>
      <c r="K47" s="4" t="s">
        <v>1162</v>
      </c>
      <c r="L47" s="4" t="s">
        <v>1163</v>
      </c>
    </row>
    <row r="48" customFormat="false" ht="69.75" hidden="false" customHeight="true" outlineLevel="0" collapsed="false">
      <c r="A48" s="5" t="s">
        <v>265</v>
      </c>
      <c r="B48" s="5" t="s">
        <v>1150</v>
      </c>
      <c r="C48" s="5" t="s">
        <v>1164</v>
      </c>
      <c r="D48" s="5" t="s">
        <v>1165</v>
      </c>
      <c r="E48" s="5" t="s">
        <v>1166</v>
      </c>
      <c r="F48" s="5" t="s">
        <v>990</v>
      </c>
      <c r="G48" s="5" t="s">
        <v>873</v>
      </c>
      <c r="H48" s="5" t="s">
        <v>1167</v>
      </c>
      <c r="I48" s="5" t="s">
        <v>875</v>
      </c>
      <c r="J48" s="5" t="s">
        <v>875</v>
      </c>
      <c r="K48" s="5" t="s">
        <v>1168</v>
      </c>
      <c r="L48" s="5" t="s">
        <v>1169</v>
      </c>
    </row>
    <row r="49" customFormat="false" ht="69.75" hidden="false" customHeight="true" outlineLevel="0" collapsed="false">
      <c r="A49" s="4" t="s">
        <v>267</v>
      </c>
      <c r="B49" s="4" t="s">
        <v>1150</v>
      </c>
      <c r="C49" s="4" t="s">
        <v>1170</v>
      </c>
      <c r="D49" s="4" t="s">
        <v>1171</v>
      </c>
      <c r="E49" s="4" t="s">
        <v>1172</v>
      </c>
      <c r="F49" s="4" t="s">
        <v>1173</v>
      </c>
      <c r="G49" s="4" t="s">
        <v>1174</v>
      </c>
      <c r="H49" s="4" t="s">
        <v>1175</v>
      </c>
      <c r="I49" s="4" t="s">
        <v>875</v>
      </c>
      <c r="J49" s="4" t="s">
        <v>903</v>
      </c>
      <c r="K49" s="4" t="s">
        <v>1176</v>
      </c>
      <c r="L49" s="4" t="s">
        <v>1177</v>
      </c>
    </row>
  </sheetData>
  <autoFilter ref="A4:L4"/>
  <conditionalFormatting sqref="I5:J49">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1178</v>
      </c>
    </row>
    <row r="2" customFormat="false" ht="15" hidden="false" customHeight="false" outlineLevel="0" collapsed="false">
      <c r="A2" s="2" t="s">
        <v>1179</v>
      </c>
    </row>
    <row r="4" customFormat="false" ht="30" hidden="false" customHeight="true" outlineLevel="0" collapsed="false">
      <c r="A4" s="3" t="s">
        <v>857</v>
      </c>
      <c r="B4" s="3" t="s">
        <v>1180</v>
      </c>
      <c r="C4" s="3" t="s">
        <v>770</v>
      </c>
      <c r="D4" s="3" t="s">
        <v>1181</v>
      </c>
      <c r="E4" s="3" t="s">
        <v>195</v>
      </c>
      <c r="F4" s="3" t="s">
        <v>192</v>
      </c>
      <c r="G4" s="3" t="s">
        <v>219</v>
      </c>
      <c r="H4" s="3" t="s">
        <v>367</v>
      </c>
      <c r="I4" s="3" t="s">
        <v>248</v>
      </c>
      <c r="J4" s="3" t="s">
        <v>368</v>
      </c>
      <c r="K4" s="3" t="s">
        <v>1182</v>
      </c>
      <c r="L4" s="3" t="s">
        <v>1183</v>
      </c>
    </row>
    <row r="5" customFormat="false" ht="48" hidden="false" customHeight="true" outlineLevel="0" collapsed="false">
      <c r="A5" s="4" t="s">
        <v>193</v>
      </c>
      <c r="B5" s="4" t="s">
        <v>870</v>
      </c>
      <c r="C5" s="4" t="s">
        <v>1184</v>
      </c>
      <c r="D5" s="4" t="s">
        <v>1184</v>
      </c>
      <c r="E5" s="4" t="s">
        <v>1184</v>
      </c>
      <c r="F5" s="4" t="s">
        <v>1184</v>
      </c>
      <c r="G5" s="4" t="s">
        <v>1184</v>
      </c>
      <c r="H5" s="4" t="s">
        <v>1185</v>
      </c>
      <c r="I5" s="4" t="s">
        <v>1185</v>
      </c>
      <c r="J5" s="4" t="s">
        <v>1185</v>
      </c>
      <c r="K5" s="4" t="s">
        <v>1186</v>
      </c>
      <c r="L5" s="4" t="s">
        <v>872</v>
      </c>
    </row>
    <row r="6" customFormat="false" ht="48" hidden="false" customHeight="true" outlineLevel="0" collapsed="false">
      <c r="A6" s="5" t="s">
        <v>878</v>
      </c>
      <c r="B6" s="5" t="s">
        <v>134</v>
      </c>
      <c r="C6" s="5" t="s">
        <v>1185</v>
      </c>
      <c r="D6" s="5" t="s">
        <v>1187</v>
      </c>
      <c r="E6" s="5" t="s">
        <v>1184</v>
      </c>
      <c r="F6" s="5" t="s">
        <v>1184</v>
      </c>
      <c r="G6" s="5" t="s">
        <v>1185</v>
      </c>
      <c r="H6" s="5" t="s">
        <v>1185</v>
      </c>
      <c r="I6" s="5" t="s">
        <v>1185</v>
      </c>
      <c r="J6" s="5" t="s">
        <v>1185</v>
      </c>
      <c r="K6" s="5" t="s">
        <v>1186</v>
      </c>
      <c r="L6" s="5" t="s">
        <v>1188</v>
      </c>
    </row>
    <row r="7" customFormat="false" ht="48" hidden="false" customHeight="true" outlineLevel="0" collapsed="false">
      <c r="A7" s="4" t="s">
        <v>884</v>
      </c>
      <c r="B7" s="4" t="s">
        <v>885</v>
      </c>
      <c r="C7" s="4" t="s">
        <v>1185</v>
      </c>
      <c r="D7" s="4" t="s">
        <v>1187</v>
      </c>
      <c r="E7" s="4" t="s">
        <v>1184</v>
      </c>
      <c r="F7" s="4" t="s">
        <v>1184</v>
      </c>
      <c r="G7" s="4" t="s">
        <v>1185</v>
      </c>
      <c r="H7" s="4" t="s">
        <v>1185</v>
      </c>
      <c r="I7" s="4" t="s">
        <v>1185</v>
      </c>
      <c r="J7" s="4" t="s">
        <v>1185</v>
      </c>
      <c r="K7" s="4" t="s">
        <v>1186</v>
      </c>
      <c r="L7" s="4" t="s">
        <v>1189</v>
      </c>
    </row>
    <row r="8" customFormat="false" ht="48" hidden="false" customHeight="true" outlineLevel="0" collapsed="false">
      <c r="A8" s="5" t="s">
        <v>890</v>
      </c>
      <c r="B8" s="5" t="s">
        <v>892</v>
      </c>
      <c r="C8" s="5" t="s">
        <v>1184</v>
      </c>
      <c r="D8" s="5" t="s">
        <v>1184</v>
      </c>
      <c r="E8" s="5" t="s">
        <v>1184</v>
      </c>
      <c r="F8" s="5" t="s">
        <v>1184</v>
      </c>
      <c r="G8" s="5" t="s">
        <v>1185</v>
      </c>
      <c r="H8" s="5" t="s">
        <v>1185</v>
      </c>
      <c r="I8" s="5" t="s">
        <v>1184</v>
      </c>
      <c r="J8" s="5" t="s">
        <v>1185</v>
      </c>
      <c r="K8" s="5" t="s">
        <v>1186</v>
      </c>
      <c r="L8" s="5" t="s">
        <v>894</v>
      </c>
    </row>
    <row r="9" customFormat="false" ht="48" hidden="false" customHeight="true" outlineLevel="0" collapsed="false">
      <c r="A9" s="4" t="s">
        <v>898</v>
      </c>
      <c r="B9" s="4" t="s">
        <v>899</v>
      </c>
      <c r="C9" s="4" t="s">
        <v>1184</v>
      </c>
      <c r="D9" s="4" t="s">
        <v>1184</v>
      </c>
      <c r="E9" s="4" t="s">
        <v>1184</v>
      </c>
      <c r="F9" s="4" t="s">
        <v>1184</v>
      </c>
      <c r="G9" s="4" t="s">
        <v>1185</v>
      </c>
      <c r="H9" s="4" t="s">
        <v>1185</v>
      </c>
      <c r="I9" s="4" t="s">
        <v>1185</v>
      </c>
      <c r="J9" s="4" t="s">
        <v>1185</v>
      </c>
      <c r="K9" s="4" t="s">
        <v>1190</v>
      </c>
      <c r="L9" s="4" t="s">
        <v>901</v>
      </c>
    </row>
    <row r="10" customFormat="false" ht="48" hidden="false" customHeight="true" outlineLevel="0" collapsed="false">
      <c r="A10" s="5" t="s">
        <v>906</v>
      </c>
      <c r="B10" s="5" t="s">
        <v>140</v>
      </c>
      <c r="C10" s="5" t="s">
        <v>1184</v>
      </c>
      <c r="D10" s="5" t="s">
        <v>1184</v>
      </c>
      <c r="E10" s="5" t="s">
        <v>1184</v>
      </c>
      <c r="F10" s="5" t="s">
        <v>1184</v>
      </c>
      <c r="G10" s="5" t="s">
        <v>1184</v>
      </c>
      <c r="H10" s="5" t="s">
        <v>1185</v>
      </c>
      <c r="I10" s="5" t="s">
        <v>1185</v>
      </c>
      <c r="J10" s="5" t="s">
        <v>1185</v>
      </c>
      <c r="K10" s="5" t="s">
        <v>1186</v>
      </c>
      <c r="L10" s="5" t="s">
        <v>872</v>
      </c>
    </row>
    <row r="11" customFormat="false" ht="48" hidden="false" customHeight="true" outlineLevel="0" collapsed="false">
      <c r="A11" s="4" t="s">
        <v>913</v>
      </c>
      <c r="B11" s="4" t="s">
        <v>141</v>
      </c>
      <c r="C11" s="4" t="s">
        <v>1184</v>
      </c>
      <c r="D11" s="4" t="s">
        <v>1184</v>
      </c>
      <c r="E11" s="4" t="s">
        <v>1184</v>
      </c>
      <c r="F11" s="4" t="s">
        <v>1184</v>
      </c>
      <c r="G11" s="4" t="s">
        <v>1185</v>
      </c>
      <c r="H11" s="4" t="s">
        <v>1185</v>
      </c>
      <c r="I11" s="4" t="s">
        <v>1185</v>
      </c>
      <c r="J11" s="4" t="s">
        <v>1185</v>
      </c>
      <c r="K11" s="4" t="s">
        <v>1191</v>
      </c>
      <c r="L11" s="4" t="s">
        <v>915</v>
      </c>
    </row>
    <row r="12" customFormat="false" ht="48" hidden="false" customHeight="true" outlineLevel="0" collapsed="false">
      <c r="A12" s="5" t="s">
        <v>919</v>
      </c>
      <c r="B12" s="5" t="s">
        <v>920</v>
      </c>
      <c r="C12" s="5" t="s">
        <v>1185</v>
      </c>
      <c r="D12" s="5" t="s">
        <v>1184</v>
      </c>
      <c r="E12" s="5" t="s">
        <v>1184</v>
      </c>
      <c r="F12" s="5" t="s">
        <v>1184</v>
      </c>
      <c r="G12" s="5" t="s">
        <v>1184</v>
      </c>
      <c r="H12" s="5" t="s">
        <v>1185</v>
      </c>
      <c r="I12" s="5" t="s">
        <v>1185</v>
      </c>
      <c r="J12" s="5" t="s">
        <v>1185</v>
      </c>
      <c r="K12" s="5" t="s">
        <v>1186</v>
      </c>
      <c r="L12" s="5" t="s">
        <v>922</v>
      </c>
    </row>
    <row r="13" customFormat="false" ht="48" hidden="false" customHeight="true" outlineLevel="0" collapsed="false">
      <c r="A13" s="4" t="s">
        <v>926</v>
      </c>
      <c r="B13" s="4" t="s">
        <v>928</v>
      </c>
      <c r="C13" s="4" t="s">
        <v>1185</v>
      </c>
      <c r="D13" s="4" t="s">
        <v>1184</v>
      </c>
      <c r="E13" s="4" t="s">
        <v>1184</v>
      </c>
      <c r="F13" s="4" t="s">
        <v>1184</v>
      </c>
      <c r="G13" s="4" t="s">
        <v>1184</v>
      </c>
      <c r="H13" s="4" t="s">
        <v>1184</v>
      </c>
      <c r="I13" s="4" t="s">
        <v>1185</v>
      </c>
      <c r="J13" s="4" t="s">
        <v>1185</v>
      </c>
      <c r="K13" s="4" t="s">
        <v>1186</v>
      </c>
      <c r="L13" s="4" t="s">
        <v>930</v>
      </c>
    </row>
    <row r="14" customFormat="false" ht="48" hidden="false" customHeight="true" outlineLevel="0" collapsed="false">
      <c r="A14" s="5" t="s">
        <v>934</v>
      </c>
      <c r="B14" s="5" t="s">
        <v>937</v>
      </c>
      <c r="C14" s="5" t="s">
        <v>1184</v>
      </c>
      <c r="D14" s="5" t="s">
        <v>1184</v>
      </c>
      <c r="E14" s="5" t="s">
        <v>1184</v>
      </c>
      <c r="F14" s="5" t="s">
        <v>1184</v>
      </c>
      <c r="G14" s="5" t="s">
        <v>1185</v>
      </c>
      <c r="H14" s="5" t="s">
        <v>1185</v>
      </c>
      <c r="I14" s="5" t="s">
        <v>1185</v>
      </c>
      <c r="J14" s="5" t="s">
        <v>1185</v>
      </c>
      <c r="K14" s="5" t="s">
        <v>1186</v>
      </c>
      <c r="L14" s="5" t="s">
        <v>939</v>
      </c>
    </row>
    <row r="15" customFormat="false" ht="48" hidden="false" customHeight="true" outlineLevel="0" collapsed="false">
      <c r="A15" s="4" t="s">
        <v>204</v>
      </c>
      <c r="B15" s="4" t="s">
        <v>943</v>
      </c>
      <c r="C15" s="4" t="s">
        <v>1184</v>
      </c>
      <c r="D15" s="4" t="s">
        <v>1184</v>
      </c>
      <c r="E15" s="4" t="s">
        <v>1184</v>
      </c>
      <c r="F15" s="4" t="s">
        <v>1184</v>
      </c>
      <c r="G15" s="4" t="s">
        <v>1185</v>
      </c>
      <c r="H15" s="4" t="s">
        <v>1185</v>
      </c>
      <c r="I15" s="4" t="s">
        <v>1185</v>
      </c>
      <c r="J15" s="4" t="s">
        <v>1185</v>
      </c>
      <c r="K15" s="4" t="s">
        <v>1190</v>
      </c>
      <c r="L15" s="4" t="s">
        <v>945</v>
      </c>
    </row>
    <row r="16" customFormat="false" ht="48" hidden="false" customHeight="true" outlineLevel="0" collapsed="false">
      <c r="A16" s="5" t="s">
        <v>949</v>
      </c>
      <c r="B16" s="5" t="s">
        <v>950</v>
      </c>
      <c r="C16" s="5" t="s">
        <v>1185</v>
      </c>
      <c r="D16" s="5" t="s">
        <v>1184</v>
      </c>
      <c r="E16" s="5" t="s">
        <v>1184</v>
      </c>
      <c r="F16" s="5" t="s">
        <v>1184</v>
      </c>
      <c r="G16" s="5" t="s">
        <v>1184</v>
      </c>
      <c r="H16" s="5" t="s">
        <v>1185</v>
      </c>
      <c r="I16" s="5" t="s">
        <v>1185</v>
      </c>
      <c r="J16" s="5" t="s">
        <v>1185</v>
      </c>
      <c r="K16" s="5" t="s">
        <v>1186</v>
      </c>
      <c r="L16" s="5" t="s">
        <v>922</v>
      </c>
    </row>
    <row r="17" customFormat="false" ht="48" hidden="false" customHeight="true" outlineLevel="0" collapsed="false">
      <c r="A17" s="4" t="s">
        <v>955</v>
      </c>
      <c r="B17" s="4" t="s">
        <v>957</v>
      </c>
      <c r="C17" s="4" t="s">
        <v>1184</v>
      </c>
      <c r="D17" s="4" t="s">
        <v>1184</v>
      </c>
      <c r="E17" s="4" t="s">
        <v>1184</v>
      </c>
      <c r="F17" s="4" t="s">
        <v>1184</v>
      </c>
      <c r="G17" s="4" t="s">
        <v>1185</v>
      </c>
      <c r="H17" s="4" t="s">
        <v>1185</v>
      </c>
      <c r="I17" s="4" t="s">
        <v>1184</v>
      </c>
      <c r="J17" s="4" t="s">
        <v>1185</v>
      </c>
      <c r="K17" s="4" t="s">
        <v>1186</v>
      </c>
      <c r="L17" s="4" t="s">
        <v>959</v>
      </c>
    </row>
    <row r="18" customFormat="false" ht="48" hidden="false" customHeight="true" outlineLevel="0" collapsed="false">
      <c r="A18" s="5" t="s">
        <v>196</v>
      </c>
      <c r="B18" s="5" t="s">
        <v>965</v>
      </c>
      <c r="C18" s="5" t="s">
        <v>1185</v>
      </c>
      <c r="D18" s="5" t="s">
        <v>1192</v>
      </c>
      <c r="E18" s="5" t="s">
        <v>1184</v>
      </c>
      <c r="F18" s="5" t="s">
        <v>1184</v>
      </c>
      <c r="G18" s="5" t="s">
        <v>1184</v>
      </c>
      <c r="H18" s="5" t="s">
        <v>1184</v>
      </c>
      <c r="I18" s="5" t="s">
        <v>1185</v>
      </c>
      <c r="J18" s="5" t="s">
        <v>1185</v>
      </c>
      <c r="K18" s="5" t="s">
        <v>1186</v>
      </c>
      <c r="L18" s="5" t="s">
        <v>1193</v>
      </c>
    </row>
    <row r="19" customFormat="false" ht="48" hidden="false" customHeight="true" outlineLevel="0" collapsed="false">
      <c r="A19" s="4" t="s">
        <v>971</v>
      </c>
      <c r="B19" s="4" t="s">
        <v>973</v>
      </c>
      <c r="C19" s="4" t="s">
        <v>1185</v>
      </c>
      <c r="D19" s="4" t="s">
        <v>1184</v>
      </c>
      <c r="E19" s="4" t="s">
        <v>1184</v>
      </c>
      <c r="F19" s="4" t="s">
        <v>1184</v>
      </c>
      <c r="G19" s="4" t="s">
        <v>1184</v>
      </c>
      <c r="H19" s="4" t="s">
        <v>1184</v>
      </c>
      <c r="I19" s="4" t="s">
        <v>1185</v>
      </c>
      <c r="J19" s="4" t="s">
        <v>1185</v>
      </c>
      <c r="K19" s="4" t="s">
        <v>1186</v>
      </c>
      <c r="L19" s="4" t="s">
        <v>975</v>
      </c>
    </row>
    <row r="20" customFormat="false" ht="48" hidden="false" customHeight="true" outlineLevel="0" collapsed="false">
      <c r="A20" s="5" t="s">
        <v>979</v>
      </c>
      <c r="B20" s="5" t="s">
        <v>980</v>
      </c>
      <c r="C20" s="5" t="s">
        <v>1185</v>
      </c>
      <c r="D20" s="5" t="s">
        <v>1184</v>
      </c>
      <c r="E20" s="5" t="s">
        <v>1184</v>
      </c>
      <c r="F20" s="5" t="s">
        <v>1184</v>
      </c>
      <c r="G20" s="5" t="s">
        <v>1184</v>
      </c>
      <c r="H20" s="5" t="s">
        <v>1185</v>
      </c>
      <c r="I20" s="5" t="s">
        <v>1185</v>
      </c>
      <c r="J20" s="5" t="s">
        <v>1185</v>
      </c>
      <c r="K20" s="5" t="s">
        <v>1186</v>
      </c>
      <c r="L20" s="5" t="s">
        <v>982</v>
      </c>
    </row>
    <row r="21" customFormat="false" ht="48" hidden="false" customHeight="true" outlineLevel="0" collapsed="false">
      <c r="A21" s="4" t="s">
        <v>206</v>
      </c>
      <c r="B21" s="4" t="s">
        <v>988</v>
      </c>
      <c r="C21" s="4" t="s">
        <v>1185</v>
      </c>
      <c r="D21" s="4" t="s">
        <v>1184</v>
      </c>
      <c r="E21" s="4" t="s">
        <v>1184</v>
      </c>
      <c r="F21" s="4" t="s">
        <v>1184</v>
      </c>
      <c r="G21" s="4" t="s">
        <v>1184</v>
      </c>
      <c r="H21" s="4" t="s">
        <v>1185</v>
      </c>
      <c r="I21" s="4" t="s">
        <v>1185</v>
      </c>
      <c r="J21" s="4" t="s">
        <v>1185</v>
      </c>
      <c r="K21" s="4" t="s">
        <v>1186</v>
      </c>
      <c r="L21" s="4" t="s">
        <v>990</v>
      </c>
    </row>
    <row r="22" customFormat="false" ht="48" hidden="false" customHeight="true" outlineLevel="0" collapsed="false">
      <c r="A22" s="5" t="s">
        <v>209</v>
      </c>
      <c r="B22" s="5" t="s">
        <v>146</v>
      </c>
      <c r="C22" s="5" t="s">
        <v>1184</v>
      </c>
      <c r="D22" s="5" t="s">
        <v>1184</v>
      </c>
      <c r="E22" s="5" t="s">
        <v>1185</v>
      </c>
      <c r="F22" s="5" t="s">
        <v>1184</v>
      </c>
      <c r="G22" s="5" t="s">
        <v>1184</v>
      </c>
      <c r="H22" s="5" t="s">
        <v>1185</v>
      </c>
      <c r="I22" s="5" t="s">
        <v>1184</v>
      </c>
      <c r="J22" s="5" t="s">
        <v>1185</v>
      </c>
      <c r="K22" s="5" t="s">
        <v>1186</v>
      </c>
      <c r="L22" s="5" t="s">
        <v>996</v>
      </c>
    </row>
    <row r="23" customFormat="false" ht="48" hidden="false" customHeight="true" outlineLevel="0" collapsed="false">
      <c r="A23" s="4" t="s">
        <v>212</v>
      </c>
      <c r="B23" s="4" t="s">
        <v>1001</v>
      </c>
      <c r="C23" s="4" t="s">
        <v>1185</v>
      </c>
      <c r="D23" s="4" t="s">
        <v>1192</v>
      </c>
      <c r="E23" s="4" t="s">
        <v>1184</v>
      </c>
      <c r="F23" s="4" t="s">
        <v>1184</v>
      </c>
      <c r="G23" s="4" t="s">
        <v>1184</v>
      </c>
      <c r="H23" s="4" t="s">
        <v>1185</v>
      </c>
      <c r="I23" s="4" t="s">
        <v>1185</v>
      </c>
      <c r="J23" s="4" t="s">
        <v>1185</v>
      </c>
      <c r="K23" s="4" t="s">
        <v>1186</v>
      </c>
      <c r="L23" s="4" t="s">
        <v>1194</v>
      </c>
    </row>
    <row r="24" customFormat="false" ht="48" hidden="false" customHeight="true" outlineLevel="0" collapsed="false">
      <c r="A24" s="5" t="s">
        <v>214</v>
      </c>
      <c r="B24" s="5" t="s">
        <v>148</v>
      </c>
      <c r="C24" s="5" t="s">
        <v>1185</v>
      </c>
      <c r="D24" s="5" t="s">
        <v>1192</v>
      </c>
      <c r="E24" s="5" t="s">
        <v>1184</v>
      </c>
      <c r="F24" s="5" t="s">
        <v>1184</v>
      </c>
      <c r="G24" s="5" t="s">
        <v>1184</v>
      </c>
      <c r="H24" s="5" t="s">
        <v>1184</v>
      </c>
      <c r="I24" s="5" t="s">
        <v>1185</v>
      </c>
      <c r="J24" s="5" t="s">
        <v>1185</v>
      </c>
      <c r="K24" s="5" t="s">
        <v>1190</v>
      </c>
      <c r="L24" s="5" t="s">
        <v>1195</v>
      </c>
    </row>
    <row r="25" customFormat="false" ht="48" hidden="false" customHeight="true" outlineLevel="0" collapsed="false">
      <c r="A25" s="4" t="s">
        <v>1013</v>
      </c>
      <c r="B25" s="4" t="s">
        <v>149</v>
      </c>
      <c r="C25" s="4" t="s">
        <v>1185</v>
      </c>
      <c r="D25" s="4" t="s">
        <v>1192</v>
      </c>
      <c r="E25" s="4" t="s">
        <v>1184</v>
      </c>
      <c r="F25" s="4" t="s">
        <v>1184</v>
      </c>
      <c r="G25" s="4" t="s">
        <v>1184</v>
      </c>
      <c r="H25" s="4" t="s">
        <v>1184</v>
      </c>
      <c r="I25" s="4" t="s">
        <v>1185</v>
      </c>
      <c r="J25" s="4" t="s">
        <v>1185</v>
      </c>
      <c r="K25" s="4" t="s">
        <v>1186</v>
      </c>
      <c r="L25" s="4" t="s">
        <v>1196</v>
      </c>
    </row>
    <row r="26" customFormat="false" ht="48" hidden="false" customHeight="true" outlineLevel="0" collapsed="false">
      <c r="A26" s="5" t="s">
        <v>1020</v>
      </c>
      <c r="B26" s="5" t="s">
        <v>1021</v>
      </c>
      <c r="C26" s="5" t="s">
        <v>1185</v>
      </c>
      <c r="D26" s="5" t="s">
        <v>1184</v>
      </c>
      <c r="E26" s="5" t="s">
        <v>1184</v>
      </c>
      <c r="F26" s="5" t="s">
        <v>1184</v>
      </c>
      <c r="G26" s="5" t="s">
        <v>1184</v>
      </c>
      <c r="H26" s="5" t="s">
        <v>1185</v>
      </c>
      <c r="I26" s="5" t="s">
        <v>1185</v>
      </c>
      <c r="J26" s="5" t="s">
        <v>1185</v>
      </c>
      <c r="K26" s="5" t="s">
        <v>1186</v>
      </c>
      <c r="L26" s="5" t="s">
        <v>990</v>
      </c>
    </row>
    <row r="27" customFormat="false" ht="48" hidden="false" customHeight="true" outlineLevel="0" collapsed="false">
      <c r="A27" s="4" t="s">
        <v>217</v>
      </c>
      <c r="B27" s="4" t="s">
        <v>150</v>
      </c>
      <c r="C27" s="4" t="s">
        <v>1185</v>
      </c>
      <c r="D27" s="4" t="s">
        <v>1184</v>
      </c>
      <c r="E27" s="4" t="s">
        <v>1184</v>
      </c>
      <c r="F27" s="4" t="s">
        <v>1184</v>
      </c>
      <c r="G27" s="4" t="s">
        <v>1185</v>
      </c>
      <c r="H27" s="4" t="s">
        <v>1185</v>
      </c>
      <c r="I27" s="4" t="s">
        <v>1185</v>
      </c>
      <c r="J27" s="4" t="s">
        <v>1185</v>
      </c>
      <c r="K27" s="4" t="s">
        <v>1186</v>
      </c>
      <c r="L27" s="4" t="s">
        <v>191</v>
      </c>
    </row>
    <row r="28" customFormat="false" ht="48" hidden="false" customHeight="true" outlineLevel="0" collapsed="false">
      <c r="A28" s="5" t="s">
        <v>220</v>
      </c>
      <c r="B28" s="5" t="s">
        <v>151</v>
      </c>
      <c r="C28" s="5" t="s">
        <v>1185</v>
      </c>
      <c r="D28" s="5" t="s">
        <v>1184</v>
      </c>
      <c r="E28" s="5" t="s">
        <v>1184</v>
      </c>
      <c r="F28" s="5" t="s">
        <v>1184</v>
      </c>
      <c r="G28" s="5" t="s">
        <v>1184</v>
      </c>
      <c r="H28" s="5" t="s">
        <v>1185</v>
      </c>
      <c r="I28" s="5" t="s">
        <v>1185</v>
      </c>
      <c r="J28" s="5" t="s">
        <v>1185</v>
      </c>
      <c r="K28" s="5" t="s">
        <v>1186</v>
      </c>
      <c r="L28" s="5" t="s">
        <v>1032</v>
      </c>
    </row>
    <row r="29" customFormat="false" ht="48" hidden="false" customHeight="true" outlineLevel="0" collapsed="false">
      <c r="A29" s="4" t="s">
        <v>222</v>
      </c>
      <c r="B29" s="4" t="s">
        <v>152</v>
      </c>
      <c r="C29" s="4" t="s">
        <v>1185</v>
      </c>
      <c r="D29" s="4" t="s">
        <v>1185</v>
      </c>
      <c r="E29" s="4" t="s">
        <v>1185</v>
      </c>
      <c r="F29" s="4" t="s">
        <v>1184</v>
      </c>
      <c r="G29" s="4" t="s">
        <v>1184</v>
      </c>
      <c r="H29" s="4" t="s">
        <v>1185</v>
      </c>
      <c r="I29" s="4" t="s">
        <v>1185</v>
      </c>
      <c r="J29" s="4" t="s">
        <v>1185</v>
      </c>
      <c r="K29" s="4" t="s">
        <v>1186</v>
      </c>
      <c r="L29" s="4" t="s">
        <v>1039</v>
      </c>
    </row>
    <row r="30" customFormat="false" ht="48" hidden="false" customHeight="true" outlineLevel="0" collapsed="false">
      <c r="A30" s="5" t="s">
        <v>224</v>
      </c>
      <c r="B30" s="5" t="s">
        <v>153</v>
      </c>
      <c r="C30" s="5" t="s">
        <v>1185</v>
      </c>
      <c r="D30" s="5" t="s">
        <v>1184</v>
      </c>
      <c r="E30" s="5" t="s">
        <v>1184</v>
      </c>
      <c r="F30" s="5" t="s">
        <v>1184</v>
      </c>
      <c r="G30" s="5" t="s">
        <v>1184</v>
      </c>
      <c r="H30" s="5" t="s">
        <v>1185</v>
      </c>
      <c r="I30" s="5" t="s">
        <v>1185</v>
      </c>
      <c r="J30" s="5" t="s">
        <v>1185</v>
      </c>
      <c r="K30" s="5" t="s">
        <v>1186</v>
      </c>
      <c r="L30" s="5" t="s">
        <v>1045</v>
      </c>
    </row>
    <row r="31" customFormat="false" ht="48" hidden="false" customHeight="true" outlineLevel="0" collapsed="false">
      <c r="A31" s="4" t="s">
        <v>227</v>
      </c>
      <c r="B31" s="4" t="s">
        <v>1050</v>
      </c>
      <c r="C31" s="4" t="s">
        <v>1185</v>
      </c>
      <c r="D31" s="4" t="s">
        <v>1184</v>
      </c>
      <c r="E31" s="4" t="s">
        <v>1184</v>
      </c>
      <c r="F31" s="4" t="s">
        <v>1184</v>
      </c>
      <c r="G31" s="4" t="s">
        <v>1184</v>
      </c>
      <c r="H31" s="4" t="s">
        <v>1185</v>
      </c>
      <c r="I31" s="4" t="s">
        <v>1185</v>
      </c>
      <c r="J31" s="4" t="s">
        <v>1185</v>
      </c>
      <c r="K31" s="4" t="s">
        <v>1186</v>
      </c>
      <c r="L31" s="4" t="s">
        <v>1003</v>
      </c>
    </row>
    <row r="32" customFormat="false" ht="48" hidden="false" customHeight="true" outlineLevel="0" collapsed="false">
      <c r="A32" s="5" t="s">
        <v>229</v>
      </c>
      <c r="B32" s="5" t="s">
        <v>155</v>
      </c>
      <c r="C32" s="5" t="s">
        <v>1185</v>
      </c>
      <c r="D32" s="5" t="s">
        <v>1184</v>
      </c>
      <c r="E32" s="5" t="s">
        <v>1184</v>
      </c>
      <c r="F32" s="5" t="s">
        <v>1184</v>
      </c>
      <c r="G32" s="5" t="s">
        <v>1184</v>
      </c>
      <c r="H32" s="5" t="s">
        <v>1185</v>
      </c>
      <c r="I32" s="5" t="s">
        <v>1185</v>
      </c>
      <c r="J32" s="5" t="s">
        <v>1185</v>
      </c>
      <c r="K32" s="5" t="s">
        <v>1186</v>
      </c>
      <c r="L32" s="5" t="s">
        <v>1056</v>
      </c>
    </row>
    <row r="33" customFormat="false" ht="48" hidden="false" customHeight="true" outlineLevel="0" collapsed="false">
      <c r="A33" s="4" t="s">
        <v>232</v>
      </c>
      <c r="B33" s="4" t="s">
        <v>1061</v>
      </c>
      <c r="C33" s="4" t="s">
        <v>1185</v>
      </c>
      <c r="D33" s="4" t="s">
        <v>1184</v>
      </c>
      <c r="E33" s="4" t="s">
        <v>1184</v>
      </c>
      <c r="F33" s="4" t="s">
        <v>1184</v>
      </c>
      <c r="G33" s="4" t="s">
        <v>1184</v>
      </c>
      <c r="H33" s="4" t="s">
        <v>1184</v>
      </c>
      <c r="I33" s="4" t="s">
        <v>1185</v>
      </c>
      <c r="J33" s="4" t="s">
        <v>1185</v>
      </c>
      <c r="K33" s="4" t="s">
        <v>1186</v>
      </c>
      <c r="L33" s="4" t="s">
        <v>930</v>
      </c>
    </row>
    <row r="34" customFormat="false" ht="48" hidden="false" customHeight="true" outlineLevel="0" collapsed="false">
      <c r="A34" s="5" t="s">
        <v>234</v>
      </c>
      <c r="B34" s="5" t="s">
        <v>1066</v>
      </c>
      <c r="C34" s="5" t="s">
        <v>1185</v>
      </c>
      <c r="D34" s="5" t="s">
        <v>1184</v>
      </c>
      <c r="E34" s="5" t="s">
        <v>1184</v>
      </c>
      <c r="F34" s="5" t="s">
        <v>1184</v>
      </c>
      <c r="G34" s="5" t="s">
        <v>1184</v>
      </c>
      <c r="H34" s="5" t="s">
        <v>1185</v>
      </c>
      <c r="I34" s="5" t="s">
        <v>1185</v>
      </c>
      <c r="J34" s="5" t="s">
        <v>1185</v>
      </c>
      <c r="K34" s="5" t="s">
        <v>1186</v>
      </c>
      <c r="L34" s="5" t="s">
        <v>216</v>
      </c>
    </row>
    <row r="35" customFormat="false" ht="48" hidden="false" customHeight="true" outlineLevel="0" collapsed="false">
      <c r="A35" s="4" t="s">
        <v>236</v>
      </c>
      <c r="B35" s="4" t="s">
        <v>1072</v>
      </c>
      <c r="C35" s="4" t="s">
        <v>1184</v>
      </c>
      <c r="D35" s="4" t="s">
        <v>1185</v>
      </c>
      <c r="E35" s="4" t="s">
        <v>1184</v>
      </c>
      <c r="F35" s="4" t="s">
        <v>1184</v>
      </c>
      <c r="G35" s="4" t="s">
        <v>1184</v>
      </c>
      <c r="H35" s="4" t="s">
        <v>1185</v>
      </c>
      <c r="I35" s="4" t="s">
        <v>1185</v>
      </c>
      <c r="J35" s="4" t="s">
        <v>1185</v>
      </c>
      <c r="K35" s="4" t="s">
        <v>1186</v>
      </c>
      <c r="L35" s="4" t="s">
        <v>1197</v>
      </c>
    </row>
    <row r="36" customFormat="false" ht="48" hidden="false" customHeight="true" outlineLevel="0" collapsed="false">
      <c r="A36" s="5" t="s">
        <v>1078</v>
      </c>
      <c r="B36" s="5" t="s">
        <v>1081</v>
      </c>
      <c r="C36" s="5" t="s">
        <v>1184</v>
      </c>
      <c r="D36" s="5" t="s">
        <v>1184</v>
      </c>
      <c r="E36" s="5" t="s">
        <v>1184</v>
      </c>
      <c r="F36" s="5" t="s">
        <v>1184</v>
      </c>
      <c r="G36" s="5" t="s">
        <v>1185</v>
      </c>
      <c r="H36" s="5" t="s">
        <v>1185</v>
      </c>
      <c r="I36" s="5" t="s">
        <v>1184</v>
      </c>
      <c r="J36" s="5" t="s">
        <v>1185</v>
      </c>
      <c r="K36" s="5" t="s">
        <v>1186</v>
      </c>
      <c r="L36" s="5" t="s">
        <v>1083</v>
      </c>
    </row>
    <row r="37" customFormat="false" ht="48" hidden="false" customHeight="true" outlineLevel="0" collapsed="false">
      <c r="A37" s="4" t="s">
        <v>242</v>
      </c>
      <c r="B37" s="4" t="s">
        <v>1087</v>
      </c>
      <c r="C37" s="4" t="s">
        <v>1184</v>
      </c>
      <c r="D37" s="4" t="s">
        <v>1185</v>
      </c>
      <c r="E37" s="4" t="s">
        <v>1185</v>
      </c>
      <c r="F37" s="4" t="s">
        <v>1184</v>
      </c>
      <c r="G37" s="4" t="s">
        <v>1185</v>
      </c>
      <c r="H37" s="4" t="s">
        <v>1185</v>
      </c>
      <c r="I37" s="4" t="s">
        <v>1184</v>
      </c>
      <c r="J37" s="4" t="s">
        <v>1184</v>
      </c>
      <c r="K37" s="4" t="s">
        <v>1186</v>
      </c>
      <c r="L37" s="4" t="s">
        <v>1089</v>
      </c>
    </row>
    <row r="38" customFormat="false" ht="48" hidden="false" customHeight="true" outlineLevel="0" collapsed="false">
      <c r="A38" s="5" t="s">
        <v>1093</v>
      </c>
      <c r="B38" s="5" t="s">
        <v>1095</v>
      </c>
      <c r="C38" s="5" t="s">
        <v>1185</v>
      </c>
      <c r="D38" s="5" t="s">
        <v>1187</v>
      </c>
      <c r="E38" s="5" t="s">
        <v>1184</v>
      </c>
      <c r="F38" s="5" t="s">
        <v>1184</v>
      </c>
      <c r="G38" s="5" t="s">
        <v>1185</v>
      </c>
      <c r="H38" s="5" t="s">
        <v>1184</v>
      </c>
      <c r="I38" s="5" t="s">
        <v>1184</v>
      </c>
      <c r="J38" s="5" t="s">
        <v>1184</v>
      </c>
      <c r="K38" s="5" t="s">
        <v>1186</v>
      </c>
      <c r="L38" s="5" t="s">
        <v>1198</v>
      </c>
    </row>
    <row r="39" customFormat="false" ht="48" hidden="false" customHeight="true" outlineLevel="0" collapsed="false">
      <c r="A39" s="4" t="s">
        <v>1101</v>
      </c>
      <c r="B39" s="4" t="s">
        <v>1102</v>
      </c>
      <c r="C39" s="4" t="s">
        <v>1185</v>
      </c>
      <c r="D39" s="4" t="s">
        <v>1185</v>
      </c>
      <c r="E39" s="4" t="s">
        <v>1185</v>
      </c>
      <c r="F39" s="4" t="s">
        <v>1184</v>
      </c>
      <c r="G39" s="4" t="s">
        <v>1185</v>
      </c>
      <c r="H39" s="4" t="s">
        <v>1184</v>
      </c>
      <c r="I39" s="4" t="s">
        <v>1185</v>
      </c>
      <c r="J39" s="4" t="s">
        <v>1184</v>
      </c>
      <c r="K39" s="4" t="s">
        <v>1191</v>
      </c>
      <c r="L39" s="4" t="s">
        <v>1199</v>
      </c>
    </row>
    <row r="40" customFormat="false" ht="48" hidden="false" customHeight="true" outlineLevel="0" collapsed="false">
      <c r="A40" s="5" t="s">
        <v>246</v>
      </c>
      <c r="B40" s="5" t="s">
        <v>1111</v>
      </c>
      <c r="C40" s="5" t="s">
        <v>1184</v>
      </c>
      <c r="D40" s="5" t="s">
        <v>1185</v>
      </c>
      <c r="E40" s="5" t="s">
        <v>1184</v>
      </c>
      <c r="F40" s="5" t="s">
        <v>1185</v>
      </c>
      <c r="G40" s="5" t="s">
        <v>1184</v>
      </c>
      <c r="H40" s="5" t="s">
        <v>1185</v>
      </c>
      <c r="I40" s="5" t="s">
        <v>1185</v>
      </c>
      <c r="J40" s="5" t="s">
        <v>1185</v>
      </c>
      <c r="K40" s="5" t="s">
        <v>1191</v>
      </c>
      <c r="L40" s="5" t="s">
        <v>247</v>
      </c>
    </row>
    <row r="41" customFormat="false" ht="48" hidden="false" customHeight="true" outlineLevel="0" collapsed="false">
      <c r="A41" s="4" t="s">
        <v>249</v>
      </c>
      <c r="B41" s="4" t="s">
        <v>164</v>
      </c>
      <c r="C41" s="4" t="s">
        <v>1184</v>
      </c>
      <c r="D41" s="4" t="s">
        <v>1184</v>
      </c>
      <c r="E41" s="4" t="s">
        <v>1185</v>
      </c>
      <c r="F41" s="4" t="s">
        <v>1185</v>
      </c>
      <c r="G41" s="4" t="s">
        <v>1184</v>
      </c>
      <c r="H41" s="4" t="s">
        <v>1185</v>
      </c>
      <c r="I41" s="4" t="s">
        <v>1184</v>
      </c>
      <c r="J41" s="4" t="s">
        <v>1185</v>
      </c>
      <c r="K41" s="4" t="s">
        <v>1186</v>
      </c>
      <c r="L41" s="4" t="s">
        <v>1118</v>
      </c>
    </row>
    <row r="42" customFormat="false" ht="48" hidden="false" customHeight="true" outlineLevel="0" collapsed="false">
      <c r="A42" s="5" t="s">
        <v>251</v>
      </c>
      <c r="B42" s="5" t="s">
        <v>165</v>
      </c>
      <c r="C42" s="5" t="s">
        <v>1184</v>
      </c>
      <c r="D42" s="5" t="s">
        <v>1185</v>
      </c>
      <c r="E42" s="5" t="s">
        <v>1185</v>
      </c>
      <c r="F42" s="5" t="s">
        <v>1185</v>
      </c>
      <c r="G42" s="5" t="s">
        <v>1185</v>
      </c>
      <c r="H42" s="5" t="s">
        <v>1185</v>
      </c>
      <c r="I42" s="5" t="s">
        <v>1184</v>
      </c>
      <c r="J42" s="5" t="s">
        <v>1185</v>
      </c>
      <c r="K42" s="5" t="s">
        <v>1186</v>
      </c>
      <c r="L42" s="5" t="s">
        <v>1124</v>
      </c>
    </row>
    <row r="43" customFormat="false" ht="48" hidden="false" customHeight="true" outlineLevel="0" collapsed="false">
      <c r="A43" s="4" t="s">
        <v>253</v>
      </c>
      <c r="B43" s="4" t="s">
        <v>1129</v>
      </c>
      <c r="C43" s="4" t="s">
        <v>1184</v>
      </c>
      <c r="D43" s="4" t="s">
        <v>1185</v>
      </c>
      <c r="E43" s="4" t="s">
        <v>1185</v>
      </c>
      <c r="F43" s="4" t="s">
        <v>1184</v>
      </c>
      <c r="G43" s="4" t="s">
        <v>1185</v>
      </c>
      <c r="H43" s="4" t="s">
        <v>1185</v>
      </c>
      <c r="I43" s="4" t="s">
        <v>1185</v>
      </c>
      <c r="J43" s="4" t="s">
        <v>1185</v>
      </c>
      <c r="K43" s="4" t="s">
        <v>1191</v>
      </c>
      <c r="L43" s="4" t="s">
        <v>1131</v>
      </c>
    </row>
    <row r="44" customFormat="false" ht="48" hidden="false" customHeight="true" outlineLevel="0" collapsed="false">
      <c r="A44" s="5" t="s">
        <v>256</v>
      </c>
      <c r="B44" s="5" t="s">
        <v>1136</v>
      </c>
      <c r="C44" s="5" t="s">
        <v>1184</v>
      </c>
      <c r="D44" s="5" t="s">
        <v>1185</v>
      </c>
      <c r="E44" s="5" t="s">
        <v>1185</v>
      </c>
      <c r="F44" s="5" t="s">
        <v>1185</v>
      </c>
      <c r="G44" s="5" t="s">
        <v>1185</v>
      </c>
      <c r="H44" s="5" t="s">
        <v>1185</v>
      </c>
      <c r="I44" s="5" t="s">
        <v>1185</v>
      </c>
      <c r="J44" s="5" t="s">
        <v>1185</v>
      </c>
      <c r="K44" s="5" t="s">
        <v>1191</v>
      </c>
      <c r="L44" s="5" t="s">
        <v>1200</v>
      </c>
    </row>
    <row r="45" customFormat="false" ht="48" hidden="false" customHeight="true" outlineLevel="0" collapsed="false">
      <c r="A45" s="4" t="s">
        <v>259</v>
      </c>
      <c r="B45" s="4" t="s">
        <v>1144</v>
      </c>
      <c r="C45" s="4" t="s">
        <v>1184</v>
      </c>
      <c r="D45" s="4" t="s">
        <v>1185</v>
      </c>
      <c r="E45" s="4" t="s">
        <v>1184</v>
      </c>
      <c r="F45" s="4" t="s">
        <v>1185</v>
      </c>
      <c r="G45" s="4" t="s">
        <v>1184</v>
      </c>
      <c r="H45" s="4" t="s">
        <v>1185</v>
      </c>
      <c r="I45" s="4" t="s">
        <v>1184</v>
      </c>
      <c r="J45" s="4" t="s">
        <v>1185</v>
      </c>
      <c r="K45" s="4" t="s">
        <v>1186</v>
      </c>
      <c r="L45" s="4" t="s">
        <v>1146</v>
      </c>
    </row>
    <row r="46" customFormat="false" ht="48" hidden="false" customHeight="true" outlineLevel="0" collapsed="false">
      <c r="A46" s="5" t="s">
        <v>261</v>
      </c>
      <c r="B46" s="5" t="s">
        <v>1152</v>
      </c>
      <c r="C46" s="5" t="s">
        <v>1184</v>
      </c>
      <c r="D46" s="5" t="s">
        <v>1184</v>
      </c>
      <c r="E46" s="5" t="s">
        <v>1184</v>
      </c>
      <c r="F46" s="5" t="s">
        <v>1185</v>
      </c>
      <c r="G46" s="5" t="s">
        <v>1184</v>
      </c>
      <c r="H46" s="5" t="s">
        <v>1185</v>
      </c>
      <c r="I46" s="5" t="s">
        <v>1185</v>
      </c>
      <c r="J46" s="5" t="s">
        <v>1185</v>
      </c>
      <c r="K46" s="5" t="s">
        <v>1186</v>
      </c>
      <c r="L46" s="5" t="s">
        <v>1201</v>
      </c>
    </row>
    <row r="47" customFormat="false" ht="48" hidden="false" customHeight="true" outlineLevel="0" collapsed="false">
      <c r="A47" s="4" t="s">
        <v>263</v>
      </c>
      <c r="B47" s="4" t="s">
        <v>170</v>
      </c>
      <c r="C47" s="4" t="s">
        <v>1184</v>
      </c>
      <c r="D47" s="4" t="s">
        <v>1184</v>
      </c>
      <c r="E47" s="4" t="s">
        <v>1185</v>
      </c>
      <c r="F47" s="4" t="s">
        <v>1184</v>
      </c>
      <c r="G47" s="4" t="s">
        <v>1184</v>
      </c>
      <c r="H47" s="4" t="s">
        <v>1185</v>
      </c>
      <c r="I47" s="4" t="s">
        <v>1185</v>
      </c>
      <c r="J47" s="4" t="s">
        <v>1185</v>
      </c>
      <c r="K47" s="4" t="s">
        <v>1191</v>
      </c>
      <c r="L47" s="4" t="s">
        <v>1160</v>
      </c>
    </row>
    <row r="48" customFormat="false" ht="48" hidden="false" customHeight="true" outlineLevel="0" collapsed="false">
      <c r="A48" s="5" t="s">
        <v>265</v>
      </c>
      <c r="B48" s="5" t="s">
        <v>1165</v>
      </c>
      <c r="C48" s="5" t="s">
        <v>1185</v>
      </c>
      <c r="D48" s="5" t="s">
        <v>1184</v>
      </c>
      <c r="E48" s="5" t="s">
        <v>1184</v>
      </c>
      <c r="F48" s="5" t="s">
        <v>1184</v>
      </c>
      <c r="G48" s="5" t="s">
        <v>1184</v>
      </c>
      <c r="H48" s="5" t="s">
        <v>1185</v>
      </c>
      <c r="I48" s="5" t="s">
        <v>1185</v>
      </c>
      <c r="J48" s="5" t="s">
        <v>1185</v>
      </c>
      <c r="K48" s="5" t="s">
        <v>1186</v>
      </c>
      <c r="L48" s="5" t="s">
        <v>990</v>
      </c>
    </row>
    <row r="49" customFormat="false" ht="48" hidden="false" customHeight="true" outlineLevel="0" collapsed="false">
      <c r="A49" s="4" t="s">
        <v>267</v>
      </c>
      <c r="B49" s="4" t="s">
        <v>1171</v>
      </c>
      <c r="C49" s="4" t="s">
        <v>1184</v>
      </c>
      <c r="D49" s="4" t="s">
        <v>1185</v>
      </c>
      <c r="E49" s="4" t="s">
        <v>1185</v>
      </c>
      <c r="F49" s="4" t="s">
        <v>1184</v>
      </c>
      <c r="G49" s="4" t="s">
        <v>1185</v>
      </c>
      <c r="H49" s="4" t="s">
        <v>1185</v>
      </c>
      <c r="I49" s="4" t="s">
        <v>1185</v>
      </c>
      <c r="J49" s="4" t="s">
        <v>1185</v>
      </c>
      <c r="K49" s="4" t="s">
        <v>1191</v>
      </c>
      <c r="L49" s="4" t="s">
        <v>1173</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1202</v>
      </c>
    </row>
    <row r="2" customFormat="false" ht="15" hidden="false" customHeight="false" outlineLevel="0" collapsed="false">
      <c r="A2" s="2" t="s">
        <v>1203</v>
      </c>
    </row>
    <row r="4" customFormat="false" ht="30" hidden="false" customHeight="true" outlineLevel="0" collapsed="false">
      <c r="A4" s="3" t="s">
        <v>1204</v>
      </c>
      <c r="B4" s="3" t="s">
        <v>1205</v>
      </c>
      <c r="C4" s="3" t="s">
        <v>1206</v>
      </c>
      <c r="D4" s="3" t="s">
        <v>1207</v>
      </c>
      <c r="E4" s="3" t="s">
        <v>1208</v>
      </c>
      <c r="F4" s="3" t="s">
        <v>1209</v>
      </c>
    </row>
    <row r="5" customFormat="false" ht="55.5" hidden="false" customHeight="true" outlineLevel="0" collapsed="false">
      <c r="A5" s="4" t="n">
        <v>1</v>
      </c>
      <c r="B5" s="4" t="s">
        <v>1210</v>
      </c>
      <c r="C5" s="4" t="s">
        <v>1211</v>
      </c>
      <c r="D5" s="4" t="s">
        <v>1212</v>
      </c>
      <c r="E5" s="4"/>
      <c r="F5" s="4"/>
    </row>
    <row r="6" customFormat="false" ht="55.5" hidden="false" customHeight="true" outlineLevel="0" collapsed="false">
      <c r="A6" s="5" t="n">
        <v>2</v>
      </c>
      <c r="B6" s="5" t="s">
        <v>1210</v>
      </c>
      <c r="C6" s="5" t="s">
        <v>1213</v>
      </c>
      <c r="D6" s="5" t="s">
        <v>1212</v>
      </c>
      <c r="E6" s="5" t="s">
        <v>1214</v>
      </c>
      <c r="F6" s="5"/>
    </row>
    <row r="7" customFormat="false" ht="55.5" hidden="false" customHeight="true" outlineLevel="0" collapsed="false">
      <c r="A7" s="4" t="n">
        <v>3</v>
      </c>
      <c r="B7" s="4" t="s">
        <v>1210</v>
      </c>
      <c r="C7" s="4" t="s">
        <v>1215</v>
      </c>
      <c r="D7" s="4" t="s">
        <v>1212</v>
      </c>
      <c r="E7" s="4"/>
      <c r="F7" s="4"/>
    </row>
    <row r="8" customFormat="false" ht="55.5" hidden="false" customHeight="true" outlineLevel="0" collapsed="false">
      <c r="A8" s="5" t="n">
        <v>4</v>
      </c>
      <c r="B8" s="5" t="s">
        <v>1210</v>
      </c>
      <c r="C8" s="5" t="s">
        <v>1216</v>
      </c>
      <c r="D8" s="5" t="s">
        <v>1212</v>
      </c>
      <c r="E8" s="5"/>
      <c r="F8" s="5"/>
    </row>
    <row r="9" customFormat="false" ht="55.5" hidden="false" customHeight="true" outlineLevel="0" collapsed="false">
      <c r="A9" s="4" t="n">
        <v>5</v>
      </c>
      <c r="B9" s="4" t="s">
        <v>1210</v>
      </c>
      <c r="C9" s="4" t="s">
        <v>1217</v>
      </c>
      <c r="D9" s="4" t="s">
        <v>1212</v>
      </c>
      <c r="E9" s="4"/>
      <c r="F9" s="4"/>
    </row>
    <row r="10" customFormat="false" ht="55.5" hidden="false" customHeight="true" outlineLevel="0" collapsed="false">
      <c r="A10" s="5" t="n">
        <v>6</v>
      </c>
      <c r="B10" s="5" t="s">
        <v>1210</v>
      </c>
      <c r="C10" s="5" t="s">
        <v>1218</v>
      </c>
      <c r="D10" s="5" t="s">
        <v>1212</v>
      </c>
      <c r="E10" s="5" t="s">
        <v>1219</v>
      </c>
      <c r="F10" s="5"/>
    </row>
    <row r="11" customFormat="false" ht="55.5" hidden="false" customHeight="true" outlineLevel="0" collapsed="false">
      <c r="A11" s="4" t="n">
        <v>7</v>
      </c>
      <c r="B11" s="4" t="s">
        <v>1210</v>
      </c>
      <c r="C11" s="4" t="s">
        <v>1220</v>
      </c>
      <c r="D11" s="4" t="s">
        <v>1212</v>
      </c>
      <c r="E11" s="4"/>
      <c r="F11" s="4"/>
    </row>
    <row r="12" customFormat="false" ht="55.5" hidden="false" customHeight="true" outlineLevel="0" collapsed="false">
      <c r="A12" s="5" t="n">
        <v>8</v>
      </c>
      <c r="B12" s="5" t="s">
        <v>1221</v>
      </c>
      <c r="C12" s="5" t="s">
        <v>1222</v>
      </c>
      <c r="D12" s="5" t="s">
        <v>878</v>
      </c>
      <c r="E12" s="5"/>
      <c r="F12" s="5"/>
    </row>
    <row r="13" customFormat="false" ht="55.5" hidden="false" customHeight="true" outlineLevel="0" collapsed="false">
      <c r="A13" s="4" t="n">
        <v>9</v>
      </c>
      <c r="B13" s="4" t="s">
        <v>1221</v>
      </c>
      <c r="C13" s="4" t="s">
        <v>1223</v>
      </c>
      <c r="D13" s="4" t="s">
        <v>878</v>
      </c>
      <c r="E13" s="4" t="s">
        <v>1224</v>
      </c>
      <c r="F13" s="4" t="s">
        <v>1225</v>
      </c>
    </row>
    <row r="14" customFormat="false" ht="55.5" hidden="false" customHeight="true" outlineLevel="0" collapsed="false">
      <c r="A14" s="5" t="n">
        <v>10</v>
      </c>
      <c r="B14" s="5" t="s">
        <v>1221</v>
      </c>
      <c r="C14" s="5" t="s">
        <v>1226</v>
      </c>
      <c r="D14" s="5" t="s">
        <v>878</v>
      </c>
      <c r="E14" s="5"/>
      <c r="F14" s="5"/>
    </row>
    <row r="15" customFormat="false" ht="55.5" hidden="false" customHeight="true" outlineLevel="0" collapsed="false">
      <c r="A15" s="4" t="n">
        <v>11</v>
      </c>
      <c r="B15" s="4" t="s">
        <v>1221</v>
      </c>
      <c r="C15" s="4" t="s">
        <v>1227</v>
      </c>
      <c r="D15" s="4" t="s">
        <v>878</v>
      </c>
      <c r="E15" s="4"/>
      <c r="F15" s="4"/>
    </row>
    <row r="16" customFormat="false" ht="55.5" hidden="false" customHeight="true" outlineLevel="0" collapsed="false">
      <c r="A16" s="5" t="n">
        <v>12</v>
      </c>
      <c r="B16" s="5" t="s">
        <v>1221</v>
      </c>
      <c r="C16" s="5" t="s">
        <v>1228</v>
      </c>
      <c r="D16" s="5" t="s">
        <v>190</v>
      </c>
      <c r="E16" s="5"/>
      <c r="F16" s="5"/>
    </row>
    <row r="17" customFormat="false" ht="55.5" hidden="false" customHeight="true" outlineLevel="0" collapsed="false">
      <c r="A17" s="4" t="n">
        <v>13</v>
      </c>
      <c r="B17" s="4" t="s">
        <v>1221</v>
      </c>
      <c r="C17" s="4" t="s">
        <v>1229</v>
      </c>
      <c r="D17" s="4" t="s">
        <v>884</v>
      </c>
      <c r="E17" s="4" t="s">
        <v>1230</v>
      </c>
      <c r="F17" s="4" t="s">
        <v>1231</v>
      </c>
    </row>
    <row r="18" customFormat="false" ht="55.5" hidden="false" customHeight="true" outlineLevel="0" collapsed="false">
      <c r="A18" s="5" t="n">
        <v>14</v>
      </c>
      <c r="B18" s="5" t="s">
        <v>1221</v>
      </c>
      <c r="C18" s="5" t="s">
        <v>1232</v>
      </c>
      <c r="D18" s="5" t="s">
        <v>884</v>
      </c>
      <c r="E18" s="5"/>
      <c r="F18" s="5"/>
    </row>
    <row r="19" customFormat="false" ht="55.5" hidden="false" customHeight="true" outlineLevel="0" collapsed="false">
      <c r="A19" s="4" t="n">
        <v>15</v>
      </c>
      <c r="B19" s="4" t="s">
        <v>1221</v>
      </c>
      <c r="C19" s="4" t="s">
        <v>1233</v>
      </c>
      <c r="D19" s="4" t="s">
        <v>1234</v>
      </c>
      <c r="E19" s="4"/>
      <c r="F19" s="4"/>
    </row>
    <row r="20" customFormat="false" ht="55.5" hidden="false" customHeight="true" outlineLevel="0" collapsed="false">
      <c r="A20" s="5" t="n">
        <v>16</v>
      </c>
      <c r="B20" s="5" t="s">
        <v>1221</v>
      </c>
      <c r="C20" s="5" t="s">
        <v>1235</v>
      </c>
      <c r="D20" s="5" t="s">
        <v>193</v>
      </c>
      <c r="E20" s="5"/>
      <c r="F20" s="5"/>
    </row>
    <row r="21" customFormat="false" ht="55.5" hidden="false" customHeight="true" outlineLevel="0" collapsed="false">
      <c r="A21" s="4" t="n">
        <v>17</v>
      </c>
      <c r="B21" s="4" t="s">
        <v>1236</v>
      </c>
      <c r="C21" s="4" t="s">
        <v>1237</v>
      </c>
      <c r="D21" s="4" t="s">
        <v>1238</v>
      </c>
      <c r="E21" s="4" t="s">
        <v>1239</v>
      </c>
      <c r="F21" s="4"/>
    </row>
    <row r="22" customFormat="false" ht="55.5" hidden="false" customHeight="true" outlineLevel="0" collapsed="false">
      <c r="A22" s="5" t="n">
        <v>18</v>
      </c>
      <c r="B22" s="5" t="s">
        <v>1236</v>
      </c>
      <c r="C22" s="5" t="s">
        <v>1240</v>
      </c>
      <c r="D22" s="5" t="s">
        <v>971</v>
      </c>
      <c r="E22" s="5"/>
      <c r="F22" s="5"/>
    </row>
    <row r="23" customFormat="false" ht="55.5" hidden="false" customHeight="true" outlineLevel="0" collapsed="false">
      <c r="A23" s="4" t="n">
        <v>19</v>
      </c>
      <c r="B23" s="4" t="s">
        <v>1236</v>
      </c>
      <c r="C23" s="4" t="s">
        <v>1241</v>
      </c>
      <c r="D23" s="4" t="s">
        <v>971</v>
      </c>
      <c r="E23" s="4"/>
      <c r="F23" s="4"/>
    </row>
    <row r="24" customFormat="false" ht="55.5" hidden="false" customHeight="true" outlineLevel="0" collapsed="false">
      <c r="A24" s="5" t="n">
        <v>20</v>
      </c>
      <c r="B24" s="5" t="s">
        <v>1236</v>
      </c>
      <c r="C24" s="5" t="s">
        <v>1242</v>
      </c>
      <c r="D24" s="5" t="s">
        <v>971</v>
      </c>
      <c r="E24" s="5"/>
      <c r="F24" s="5"/>
    </row>
    <row r="25" customFormat="false" ht="55.5" hidden="false" customHeight="true" outlineLevel="0" collapsed="false">
      <c r="A25" s="4" t="n">
        <v>21</v>
      </c>
      <c r="B25" s="4" t="s">
        <v>1236</v>
      </c>
      <c r="C25" s="4" t="s">
        <v>1243</v>
      </c>
      <c r="D25" s="4" t="s">
        <v>971</v>
      </c>
      <c r="E25" s="4"/>
      <c r="F25" s="4"/>
    </row>
    <row r="26" customFormat="false" ht="55.5" hidden="false" customHeight="true" outlineLevel="0" collapsed="false">
      <c r="A26" s="5" t="n">
        <v>22</v>
      </c>
      <c r="B26" s="5" t="s">
        <v>1236</v>
      </c>
      <c r="C26" s="5" t="s">
        <v>1244</v>
      </c>
      <c r="D26" s="5" t="s">
        <v>898</v>
      </c>
      <c r="E26" s="5"/>
      <c r="F26" s="5"/>
    </row>
    <row r="27" customFormat="false" ht="55.5" hidden="false" customHeight="true" outlineLevel="0" collapsed="false">
      <c r="A27" s="4" t="n">
        <v>23</v>
      </c>
      <c r="B27" s="4" t="s">
        <v>1236</v>
      </c>
      <c r="C27" s="4" t="s">
        <v>1245</v>
      </c>
      <c r="D27" s="4" t="s">
        <v>898</v>
      </c>
      <c r="E27" s="4" t="s">
        <v>1246</v>
      </c>
      <c r="F27" s="4"/>
    </row>
    <row r="28" customFormat="false" ht="55.5" hidden="false" customHeight="true" outlineLevel="0" collapsed="false">
      <c r="A28" s="5" t="n">
        <v>24</v>
      </c>
      <c r="B28" s="5" t="s">
        <v>1236</v>
      </c>
      <c r="C28" s="5" t="s">
        <v>1247</v>
      </c>
      <c r="D28" s="5" t="s">
        <v>1248</v>
      </c>
      <c r="E28" s="5"/>
      <c r="F28" s="5"/>
    </row>
    <row r="29" customFormat="false" ht="55.5" hidden="false" customHeight="true" outlineLevel="0" collapsed="false">
      <c r="A29" s="4" t="n">
        <v>25</v>
      </c>
      <c r="B29" s="4" t="s">
        <v>1236</v>
      </c>
      <c r="C29" s="4" t="s">
        <v>1249</v>
      </c>
      <c r="D29" s="4" t="s">
        <v>898</v>
      </c>
      <c r="E29" s="4"/>
      <c r="F29" s="4"/>
    </row>
    <row r="30" customFormat="false" ht="55.5" hidden="false" customHeight="true" outlineLevel="0" collapsed="false">
      <c r="A30" s="5" t="n">
        <v>26</v>
      </c>
      <c r="B30" s="5" t="s">
        <v>1236</v>
      </c>
      <c r="C30" s="5" t="s">
        <v>1250</v>
      </c>
      <c r="D30" s="5" t="s">
        <v>898</v>
      </c>
      <c r="E30" s="5"/>
      <c r="F30" s="5"/>
    </row>
    <row r="31" customFormat="false" ht="55.5" hidden="false" customHeight="true" outlineLevel="0" collapsed="false">
      <c r="A31" s="4" t="n">
        <v>27</v>
      </c>
      <c r="B31" s="4" t="s">
        <v>1236</v>
      </c>
      <c r="C31" s="4" t="s">
        <v>1251</v>
      </c>
      <c r="D31" s="4" t="s">
        <v>1252</v>
      </c>
      <c r="E31" s="4"/>
      <c r="F31" s="4" t="s">
        <v>1253</v>
      </c>
    </row>
    <row r="32" customFormat="false" ht="55.5" hidden="false" customHeight="true" outlineLevel="0" collapsed="false">
      <c r="A32" s="5" t="n">
        <v>28</v>
      </c>
      <c r="B32" s="5" t="s">
        <v>1236</v>
      </c>
      <c r="C32" s="5" t="s">
        <v>1254</v>
      </c>
      <c r="D32" s="5" t="s">
        <v>890</v>
      </c>
      <c r="E32" s="5"/>
      <c r="F32" s="5"/>
    </row>
    <row r="33" customFormat="false" ht="55.5" hidden="false" customHeight="true" outlineLevel="0" collapsed="false">
      <c r="A33" s="4" t="n">
        <v>29</v>
      </c>
      <c r="B33" s="4" t="s">
        <v>1236</v>
      </c>
      <c r="C33" s="4" t="s">
        <v>1255</v>
      </c>
      <c r="D33" s="4" t="s">
        <v>890</v>
      </c>
      <c r="E33" s="4"/>
      <c r="F33" s="4" t="s">
        <v>1256</v>
      </c>
    </row>
    <row r="34" customFormat="false" ht="55.5" hidden="false" customHeight="true" outlineLevel="0" collapsed="false">
      <c r="A34" s="5" t="n">
        <v>30</v>
      </c>
      <c r="B34" s="5" t="s">
        <v>1236</v>
      </c>
      <c r="C34" s="5" t="s">
        <v>1257</v>
      </c>
      <c r="D34" s="5" t="s">
        <v>979</v>
      </c>
      <c r="E34" s="5"/>
      <c r="F34" s="5"/>
    </row>
    <row r="35" customFormat="false" ht="55.5" hidden="false" customHeight="true" outlineLevel="0" collapsed="false">
      <c r="A35" s="4" t="n">
        <v>31</v>
      </c>
      <c r="B35" s="4" t="s">
        <v>1236</v>
      </c>
      <c r="C35" s="4" t="s">
        <v>1258</v>
      </c>
      <c r="D35" s="4" t="s">
        <v>979</v>
      </c>
      <c r="E35" s="4"/>
      <c r="F35" s="4"/>
    </row>
    <row r="36" customFormat="false" ht="55.5" hidden="false" customHeight="true" outlineLevel="0" collapsed="false">
      <c r="A36" s="5" t="n">
        <v>32</v>
      </c>
      <c r="B36" s="5" t="s">
        <v>1259</v>
      </c>
      <c r="C36" s="5" t="s">
        <v>1260</v>
      </c>
      <c r="D36" s="5" t="s">
        <v>906</v>
      </c>
      <c r="E36" s="5" t="s">
        <v>1261</v>
      </c>
      <c r="F36" s="5"/>
    </row>
    <row r="37" customFormat="false" ht="55.5" hidden="false" customHeight="true" outlineLevel="0" collapsed="false">
      <c r="A37" s="4" t="n">
        <v>33</v>
      </c>
      <c r="B37" s="4" t="s">
        <v>1259</v>
      </c>
      <c r="C37" s="4" t="s">
        <v>1262</v>
      </c>
      <c r="D37" s="4" t="s">
        <v>200</v>
      </c>
      <c r="E37" s="4"/>
      <c r="F37" s="4"/>
    </row>
    <row r="38" customFormat="false" ht="55.5" hidden="false" customHeight="true" outlineLevel="0" collapsed="false">
      <c r="A38" s="5" t="n">
        <v>34</v>
      </c>
      <c r="B38" s="5" t="s">
        <v>1259</v>
      </c>
      <c r="C38" s="5" t="s">
        <v>1263</v>
      </c>
      <c r="D38" s="5" t="s">
        <v>955</v>
      </c>
      <c r="E38" s="5"/>
      <c r="F38" s="5"/>
    </row>
    <row r="39" customFormat="false" ht="55.5" hidden="false" customHeight="true" outlineLevel="0" collapsed="false">
      <c r="A39" s="4" t="n">
        <v>35</v>
      </c>
      <c r="B39" s="4" t="s">
        <v>1259</v>
      </c>
      <c r="C39" s="4" t="s">
        <v>1264</v>
      </c>
      <c r="D39" s="4" t="s">
        <v>906</v>
      </c>
      <c r="E39" s="4"/>
      <c r="F39" s="4"/>
    </row>
    <row r="40" customFormat="false" ht="55.5" hidden="false" customHeight="true" outlineLevel="0" collapsed="false">
      <c r="A40" s="5" t="n">
        <v>36</v>
      </c>
      <c r="B40" s="5" t="s">
        <v>1259</v>
      </c>
      <c r="C40" s="5" t="s">
        <v>1265</v>
      </c>
      <c r="D40" s="5" t="s">
        <v>913</v>
      </c>
      <c r="E40" s="5" t="s">
        <v>1266</v>
      </c>
      <c r="F40" s="5"/>
    </row>
    <row r="41" customFormat="false" ht="55.5" hidden="false" customHeight="true" outlineLevel="0" collapsed="false">
      <c r="A41" s="4" t="n">
        <v>37</v>
      </c>
      <c r="B41" s="4" t="s">
        <v>1259</v>
      </c>
      <c r="C41" s="4" t="s">
        <v>1267</v>
      </c>
      <c r="D41" s="4" t="s">
        <v>913</v>
      </c>
      <c r="E41" s="4"/>
      <c r="F41" s="4" t="s">
        <v>1268</v>
      </c>
    </row>
    <row r="42" customFormat="false" ht="55.5" hidden="false" customHeight="true" outlineLevel="0" collapsed="false">
      <c r="A42" s="5" t="n">
        <v>38</v>
      </c>
      <c r="B42" s="5" t="s">
        <v>1259</v>
      </c>
      <c r="C42" s="5" t="s">
        <v>1269</v>
      </c>
      <c r="D42" s="5" t="s">
        <v>919</v>
      </c>
      <c r="E42" s="5"/>
      <c r="F42" s="5"/>
    </row>
    <row r="43" customFormat="false" ht="55.5" hidden="false" customHeight="true" outlineLevel="0" collapsed="false">
      <c r="A43" s="4" t="n">
        <v>39</v>
      </c>
      <c r="B43" s="4" t="s">
        <v>1259</v>
      </c>
      <c r="C43" s="4" t="s">
        <v>1270</v>
      </c>
      <c r="D43" s="4" t="s">
        <v>919</v>
      </c>
      <c r="E43" s="4" t="s">
        <v>1271</v>
      </c>
      <c r="F43" s="4"/>
    </row>
    <row r="44" customFormat="false" ht="55.5" hidden="false" customHeight="true" outlineLevel="0" collapsed="false">
      <c r="A44" s="5" t="n">
        <v>40</v>
      </c>
      <c r="B44" s="5" t="s">
        <v>1259</v>
      </c>
      <c r="C44" s="5" t="s">
        <v>1272</v>
      </c>
      <c r="D44" s="5" t="s">
        <v>926</v>
      </c>
      <c r="E44" s="5"/>
      <c r="F44" s="5"/>
    </row>
    <row r="45" customFormat="false" ht="55.5" hidden="false" customHeight="true" outlineLevel="0" collapsed="false">
      <c r="A45" s="4" t="n">
        <v>41</v>
      </c>
      <c r="B45" s="4" t="s">
        <v>1259</v>
      </c>
      <c r="C45" s="4" t="s">
        <v>1273</v>
      </c>
      <c r="D45" s="4" t="s">
        <v>926</v>
      </c>
      <c r="E45" s="4"/>
      <c r="F45" s="4"/>
    </row>
    <row r="46" customFormat="false" ht="55.5" hidden="false" customHeight="true" outlineLevel="0" collapsed="false">
      <c r="A46" s="5" t="n">
        <v>42</v>
      </c>
      <c r="B46" s="5" t="s">
        <v>1259</v>
      </c>
      <c r="C46" s="5" t="s">
        <v>1274</v>
      </c>
      <c r="D46" s="5" t="s">
        <v>926</v>
      </c>
      <c r="E46" s="5" t="s">
        <v>1275</v>
      </c>
      <c r="F46" s="5"/>
    </row>
    <row r="47" customFormat="false" ht="55.5" hidden="false" customHeight="true" outlineLevel="0" collapsed="false">
      <c r="A47" s="4" t="n">
        <v>43</v>
      </c>
      <c r="B47" s="4" t="s">
        <v>1276</v>
      </c>
      <c r="C47" s="4" t="s">
        <v>1277</v>
      </c>
      <c r="D47" s="4" t="s">
        <v>934</v>
      </c>
      <c r="E47" s="4" t="s">
        <v>1278</v>
      </c>
      <c r="F47" s="4"/>
    </row>
    <row r="48" customFormat="false" ht="55.5" hidden="false" customHeight="true" outlineLevel="0" collapsed="false">
      <c r="A48" s="5" t="n">
        <v>44</v>
      </c>
      <c r="B48" s="5" t="s">
        <v>1276</v>
      </c>
      <c r="C48" s="5" t="s">
        <v>1279</v>
      </c>
      <c r="D48" s="5" t="s">
        <v>934</v>
      </c>
      <c r="E48" s="5"/>
      <c r="F48" s="5"/>
    </row>
    <row r="49" customFormat="false" ht="55.5" hidden="false" customHeight="true" outlineLevel="0" collapsed="false">
      <c r="A49" s="4" t="n">
        <v>45</v>
      </c>
      <c r="B49" s="4" t="s">
        <v>1276</v>
      </c>
      <c r="C49" s="4" t="s">
        <v>1280</v>
      </c>
      <c r="D49" s="4" t="s">
        <v>204</v>
      </c>
      <c r="E49" s="4"/>
      <c r="F49" s="4"/>
    </row>
    <row r="50" customFormat="false" ht="55.5" hidden="false" customHeight="true" outlineLevel="0" collapsed="false">
      <c r="A50" s="5" t="n">
        <v>46</v>
      </c>
      <c r="B50" s="5" t="s">
        <v>1276</v>
      </c>
      <c r="C50" s="5" t="s">
        <v>1281</v>
      </c>
      <c r="D50" s="5" t="s">
        <v>204</v>
      </c>
      <c r="E50" s="5"/>
      <c r="F50" s="5"/>
    </row>
    <row r="51" customFormat="false" ht="55.5" hidden="false" customHeight="true" outlineLevel="0" collapsed="false">
      <c r="A51" s="4" t="n">
        <v>47</v>
      </c>
      <c r="B51" s="4" t="s">
        <v>1276</v>
      </c>
      <c r="C51" s="4" t="s">
        <v>1282</v>
      </c>
      <c r="D51" s="4" t="s">
        <v>1283</v>
      </c>
      <c r="E51" s="4"/>
      <c r="F51" s="4" t="s">
        <v>1284</v>
      </c>
    </row>
    <row r="52" customFormat="false" ht="55.5" hidden="false" customHeight="true" outlineLevel="0" collapsed="false">
      <c r="A52" s="5" t="n">
        <v>48</v>
      </c>
      <c r="B52" s="5" t="s">
        <v>1276</v>
      </c>
      <c r="C52" s="5" t="s">
        <v>1285</v>
      </c>
      <c r="D52" s="5" t="s">
        <v>949</v>
      </c>
      <c r="E52" s="5" t="s">
        <v>1286</v>
      </c>
      <c r="F52" s="5"/>
    </row>
    <row r="53" customFormat="false" ht="55.5" hidden="false" customHeight="true" outlineLevel="0" collapsed="false">
      <c r="A53" s="4" t="n">
        <v>49</v>
      </c>
      <c r="B53" s="4" t="s">
        <v>1276</v>
      </c>
      <c r="C53" s="4" t="s">
        <v>1287</v>
      </c>
      <c r="D53" s="4" t="s">
        <v>949</v>
      </c>
      <c r="E53" s="4"/>
      <c r="F53" s="4"/>
    </row>
    <row r="54" customFormat="false" ht="55.5" hidden="false" customHeight="true" outlineLevel="0" collapsed="false">
      <c r="A54" s="5" t="n">
        <v>50</v>
      </c>
      <c r="B54" s="5" t="s">
        <v>1288</v>
      </c>
      <c r="C54" s="5" t="s">
        <v>1289</v>
      </c>
      <c r="D54" s="5" t="s">
        <v>196</v>
      </c>
      <c r="E54" s="5" t="s">
        <v>1290</v>
      </c>
      <c r="F54" s="5"/>
    </row>
    <row r="55" customFormat="false" ht="55.5" hidden="false" customHeight="true" outlineLevel="0" collapsed="false">
      <c r="A55" s="4" t="n">
        <v>51</v>
      </c>
      <c r="B55" s="4" t="s">
        <v>1288</v>
      </c>
      <c r="C55" s="4" t="s">
        <v>1291</v>
      </c>
      <c r="D55" s="4" t="s">
        <v>196</v>
      </c>
      <c r="E55" s="4"/>
      <c r="F55" s="4"/>
    </row>
    <row r="56" customFormat="false" ht="55.5" hidden="false" customHeight="true" outlineLevel="0" collapsed="false">
      <c r="A56" s="5" t="n">
        <v>52</v>
      </c>
      <c r="B56" s="5" t="s">
        <v>1288</v>
      </c>
      <c r="C56" s="5" t="s">
        <v>1292</v>
      </c>
      <c r="D56" s="5" t="s">
        <v>196</v>
      </c>
      <c r="E56" s="5"/>
      <c r="F56" s="5"/>
    </row>
    <row r="57" customFormat="false" ht="55.5" hidden="false" customHeight="true" outlineLevel="0" collapsed="false">
      <c r="A57" s="4" t="n">
        <v>53</v>
      </c>
      <c r="B57" s="4" t="s">
        <v>1288</v>
      </c>
      <c r="C57" s="4" t="s">
        <v>1293</v>
      </c>
      <c r="D57" s="4" t="s">
        <v>196</v>
      </c>
      <c r="E57" s="4"/>
      <c r="F57" s="4"/>
    </row>
    <row r="58" customFormat="false" ht="55.5" hidden="false" customHeight="true" outlineLevel="0" collapsed="false">
      <c r="A58" s="5" t="n">
        <v>54</v>
      </c>
      <c r="B58" s="5" t="s">
        <v>1288</v>
      </c>
      <c r="C58" s="5" t="s">
        <v>1294</v>
      </c>
      <c r="D58" s="5" t="s">
        <v>196</v>
      </c>
      <c r="E58" s="5"/>
      <c r="F58" s="5" t="s">
        <v>1295</v>
      </c>
    </row>
    <row r="59" customFormat="false" ht="55.5" hidden="false" customHeight="true" outlineLevel="0" collapsed="false">
      <c r="A59" s="4" t="n">
        <v>55</v>
      </c>
      <c r="B59" s="4" t="s">
        <v>1296</v>
      </c>
      <c r="C59" s="4" t="s">
        <v>1297</v>
      </c>
      <c r="D59" s="4" t="s">
        <v>206</v>
      </c>
      <c r="E59" s="4" t="s">
        <v>1298</v>
      </c>
      <c r="F59" s="4"/>
    </row>
    <row r="60" customFormat="false" ht="55.5" hidden="false" customHeight="true" outlineLevel="0" collapsed="false">
      <c r="A60" s="5" t="n">
        <v>56</v>
      </c>
      <c r="B60" s="5" t="s">
        <v>1296</v>
      </c>
      <c r="C60" s="5" t="s">
        <v>1299</v>
      </c>
      <c r="D60" s="5" t="s">
        <v>206</v>
      </c>
      <c r="E60" s="5"/>
      <c r="F60" s="5"/>
    </row>
    <row r="61" customFormat="false" ht="55.5" hidden="false" customHeight="true" outlineLevel="0" collapsed="false">
      <c r="A61" s="4" t="n">
        <v>57</v>
      </c>
      <c r="B61" s="4" t="s">
        <v>1296</v>
      </c>
      <c r="C61" s="4" t="s">
        <v>1300</v>
      </c>
      <c r="D61" s="4" t="s">
        <v>206</v>
      </c>
      <c r="E61" s="4"/>
      <c r="F61" s="4"/>
    </row>
    <row r="62" customFormat="false" ht="55.5" hidden="false" customHeight="true" outlineLevel="0" collapsed="false">
      <c r="A62" s="5" t="n">
        <v>58</v>
      </c>
      <c r="B62" s="5" t="s">
        <v>1296</v>
      </c>
      <c r="C62" s="5" t="s">
        <v>1301</v>
      </c>
      <c r="D62" s="5" t="s">
        <v>206</v>
      </c>
      <c r="E62" s="5"/>
      <c r="F62" s="5"/>
    </row>
    <row r="63" customFormat="false" ht="55.5" hidden="false" customHeight="true" outlineLevel="0" collapsed="false">
      <c r="A63" s="4" t="n">
        <v>59</v>
      </c>
      <c r="B63" s="4" t="s">
        <v>1296</v>
      </c>
      <c r="C63" s="4" t="s">
        <v>1302</v>
      </c>
      <c r="D63" s="4" t="s">
        <v>209</v>
      </c>
      <c r="E63" s="4" t="s">
        <v>1303</v>
      </c>
      <c r="F63" s="4"/>
    </row>
    <row r="64" customFormat="false" ht="55.5" hidden="false" customHeight="true" outlineLevel="0" collapsed="false">
      <c r="A64" s="5" t="n">
        <v>60</v>
      </c>
      <c r="B64" s="5" t="s">
        <v>1296</v>
      </c>
      <c r="C64" s="5" t="s">
        <v>1304</v>
      </c>
      <c r="D64" s="5" t="s">
        <v>209</v>
      </c>
      <c r="E64" s="5"/>
      <c r="F64" s="5"/>
    </row>
    <row r="65" customFormat="false" ht="55.5" hidden="false" customHeight="true" outlineLevel="0" collapsed="false">
      <c r="A65" s="4" t="n">
        <v>61</v>
      </c>
      <c r="B65" s="4" t="s">
        <v>1296</v>
      </c>
      <c r="C65" s="4" t="s">
        <v>1305</v>
      </c>
      <c r="D65" s="4" t="s">
        <v>209</v>
      </c>
      <c r="E65" s="4"/>
      <c r="F65" s="4"/>
    </row>
    <row r="66" customFormat="false" ht="55.5" hidden="false" customHeight="true" outlineLevel="0" collapsed="false">
      <c r="A66" s="5" t="n">
        <v>62</v>
      </c>
      <c r="B66" s="5" t="s">
        <v>1296</v>
      </c>
      <c r="C66" s="5" t="s">
        <v>1306</v>
      </c>
      <c r="D66" s="5" t="s">
        <v>1307</v>
      </c>
      <c r="E66" s="5"/>
      <c r="F66" s="5"/>
    </row>
    <row r="67" customFormat="false" ht="55.5" hidden="false" customHeight="true" outlineLevel="0" collapsed="false">
      <c r="A67" s="4" t="n">
        <v>63</v>
      </c>
      <c r="B67" s="4" t="s">
        <v>1296</v>
      </c>
      <c r="C67" s="4" t="s">
        <v>1308</v>
      </c>
      <c r="D67" s="4" t="s">
        <v>212</v>
      </c>
      <c r="E67" s="4" t="s">
        <v>1309</v>
      </c>
      <c r="F67" s="4"/>
    </row>
    <row r="68" customFormat="false" ht="55.5" hidden="false" customHeight="true" outlineLevel="0" collapsed="false">
      <c r="A68" s="5" t="n">
        <v>64</v>
      </c>
      <c r="B68" s="5" t="s">
        <v>1296</v>
      </c>
      <c r="C68" s="5" t="s">
        <v>1310</v>
      </c>
      <c r="D68" s="5" t="s">
        <v>212</v>
      </c>
      <c r="E68" s="5"/>
      <c r="F68" s="5"/>
    </row>
    <row r="69" customFormat="false" ht="55.5" hidden="false" customHeight="true" outlineLevel="0" collapsed="false">
      <c r="A69" s="4" t="n">
        <v>65</v>
      </c>
      <c r="B69" s="4" t="s">
        <v>1311</v>
      </c>
      <c r="C69" s="4" t="s">
        <v>1312</v>
      </c>
      <c r="D69" s="4" t="s">
        <v>214</v>
      </c>
      <c r="E69" s="4"/>
      <c r="F69" s="4"/>
    </row>
    <row r="70" customFormat="false" ht="55.5" hidden="false" customHeight="true" outlineLevel="0" collapsed="false">
      <c r="A70" s="5" t="n">
        <v>66</v>
      </c>
      <c r="B70" s="5" t="s">
        <v>1311</v>
      </c>
      <c r="C70" s="5" t="s">
        <v>1313</v>
      </c>
      <c r="D70" s="5" t="s">
        <v>214</v>
      </c>
      <c r="E70" s="5"/>
      <c r="F70" s="5"/>
    </row>
    <row r="71" customFormat="false" ht="55.5" hidden="false" customHeight="true" outlineLevel="0" collapsed="false">
      <c r="A71" s="4" t="n">
        <v>67</v>
      </c>
      <c r="B71" s="4" t="s">
        <v>1311</v>
      </c>
      <c r="C71" s="4" t="s">
        <v>1314</v>
      </c>
      <c r="D71" s="4" t="s">
        <v>214</v>
      </c>
      <c r="E71" s="4" t="s">
        <v>1315</v>
      </c>
      <c r="F71" s="4"/>
    </row>
    <row r="72" customFormat="false" ht="55.5" hidden="false" customHeight="true" outlineLevel="0" collapsed="false">
      <c r="A72" s="5" t="n">
        <v>68</v>
      </c>
      <c r="B72" s="5" t="s">
        <v>1311</v>
      </c>
      <c r="C72" s="5" t="s">
        <v>1316</v>
      </c>
      <c r="D72" s="5" t="s">
        <v>1020</v>
      </c>
      <c r="E72" s="5" t="s">
        <v>1317</v>
      </c>
      <c r="F72" s="5"/>
    </row>
    <row r="73" customFormat="false" ht="55.5" hidden="false" customHeight="true" outlineLevel="0" collapsed="false">
      <c r="A73" s="4" t="n">
        <v>69</v>
      </c>
      <c r="B73" s="4" t="s">
        <v>1311</v>
      </c>
      <c r="C73" s="4" t="s">
        <v>1318</v>
      </c>
      <c r="D73" s="4" t="s">
        <v>1020</v>
      </c>
      <c r="E73" s="4"/>
      <c r="F73" s="4"/>
    </row>
    <row r="74" customFormat="false" ht="55.5" hidden="false" customHeight="true" outlineLevel="0" collapsed="false">
      <c r="A74" s="5" t="n">
        <v>70</v>
      </c>
      <c r="B74" s="5" t="s">
        <v>1311</v>
      </c>
      <c r="C74" s="5" t="s">
        <v>1319</v>
      </c>
      <c r="D74" s="5" t="s">
        <v>1320</v>
      </c>
      <c r="E74" s="5"/>
      <c r="F74" s="5"/>
    </row>
    <row r="75" customFormat="false" ht="55.5" hidden="false" customHeight="true" outlineLevel="0" collapsed="false">
      <c r="A75" s="4" t="n">
        <v>71</v>
      </c>
      <c r="B75" s="4" t="s">
        <v>1311</v>
      </c>
      <c r="C75" s="4" t="s">
        <v>1321</v>
      </c>
      <c r="D75" s="4" t="s">
        <v>1020</v>
      </c>
      <c r="E75" s="4"/>
      <c r="F75" s="4" t="s">
        <v>1322</v>
      </c>
    </row>
    <row r="76" customFormat="false" ht="55.5" hidden="false" customHeight="true" outlineLevel="0" collapsed="false">
      <c r="A76" s="5" t="n">
        <v>72</v>
      </c>
      <c r="B76" s="5" t="s">
        <v>1311</v>
      </c>
      <c r="C76" s="5" t="s">
        <v>1323</v>
      </c>
      <c r="D76" s="5" t="s">
        <v>217</v>
      </c>
      <c r="E76" s="5" t="s">
        <v>1324</v>
      </c>
      <c r="F76" s="5"/>
    </row>
    <row r="77" customFormat="false" ht="55.5" hidden="false" customHeight="true" outlineLevel="0" collapsed="false">
      <c r="A77" s="4" t="n">
        <v>73</v>
      </c>
      <c r="B77" s="4" t="s">
        <v>1311</v>
      </c>
      <c r="C77" s="4" t="s">
        <v>1325</v>
      </c>
      <c r="D77" s="4" t="s">
        <v>217</v>
      </c>
      <c r="E77" s="4"/>
      <c r="F77" s="4"/>
    </row>
    <row r="78" customFormat="false" ht="55.5" hidden="false" customHeight="true" outlineLevel="0" collapsed="false">
      <c r="A78" s="5" t="n">
        <v>74</v>
      </c>
      <c r="B78" s="5" t="s">
        <v>1311</v>
      </c>
      <c r="C78" s="5" t="s">
        <v>1326</v>
      </c>
      <c r="D78" s="5" t="s">
        <v>1327</v>
      </c>
      <c r="E78" s="5"/>
      <c r="F78" s="5"/>
    </row>
    <row r="79" customFormat="false" ht="55.5" hidden="false" customHeight="true" outlineLevel="0" collapsed="false">
      <c r="A79" s="4" t="n">
        <v>75</v>
      </c>
      <c r="B79" s="4" t="s">
        <v>1311</v>
      </c>
      <c r="C79" s="4" t="s">
        <v>1328</v>
      </c>
      <c r="D79" s="4" t="s">
        <v>1329</v>
      </c>
      <c r="E79" s="4"/>
      <c r="F79" s="4"/>
    </row>
    <row r="80" customFormat="false" ht="55.5" hidden="false" customHeight="true" outlineLevel="0" collapsed="false">
      <c r="A80" s="5" t="n">
        <v>76</v>
      </c>
      <c r="B80" s="5" t="s">
        <v>1311</v>
      </c>
      <c r="C80" s="5" t="s">
        <v>1330</v>
      </c>
      <c r="D80" s="5" t="s">
        <v>220</v>
      </c>
      <c r="E80" s="5"/>
      <c r="F80" s="5"/>
    </row>
    <row r="81" customFormat="false" ht="55.5" hidden="false" customHeight="true" outlineLevel="0" collapsed="false">
      <c r="A81" s="4" t="n">
        <v>77</v>
      </c>
      <c r="B81" s="4" t="s">
        <v>1311</v>
      </c>
      <c r="C81" s="4" t="s">
        <v>1331</v>
      </c>
      <c r="D81" s="4" t="s">
        <v>220</v>
      </c>
      <c r="E81" s="4" t="s">
        <v>1332</v>
      </c>
      <c r="F81" s="4"/>
    </row>
    <row r="82" customFormat="false" ht="55.5" hidden="false" customHeight="true" outlineLevel="0" collapsed="false">
      <c r="A82" s="5" t="n">
        <v>78</v>
      </c>
      <c r="B82" s="5" t="s">
        <v>1311</v>
      </c>
      <c r="C82" s="5" t="s">
        <v>1333</v>
      </c>
      <c r="D82" s="5" t="s">
        <v>1334</v>
      </c>
      <c r="E82" s="5"/>
      <c r="F82" s="5"/>
    </row>
    <row r="83" customFormat="false" ht="55.5" hidden="false" customHeight="true" outlineLevel="0" collapsed="false">
      <c r="A83" s="4" t="n">
        <v>79</v>
      </c>
      <c r="B83" s="4" t="s">
        <v>1335</v>
      </c>
      <c r="C83" s="4" t="s">
        <v>1336</v>
      </c>
      <c r="D83" s="4" t="s">
        <v>222</v>
      </c>
      <c r="E83" s="4"/>
      <c r="F83" s="4"/>
    </row>
    <row r="84" customFormat="false" ht="55.5" hidden="false" customHeight="true" outlineLevel="0" collapsed="false">
      <c r="A84" s="5" t="n">
        <v>80</v>
      </c>
      <c r="B84" s="5" t="s">
        <v>1335</v>
      </c>
      <c r="C84" s="5" t="s">
        <v>1337</v>
      </c>
      <c r="D84" s="5" t="s">
        <v>222</v>
      </c>
      <c r="E84" s="5" t="s">
        <v>1338</v>
      </c>
      <c r="F84" s="5"/>
    </row>
    <row r="85" customFormat="false" ht="55.5" hidden="false" customHeight="true" outlineLevel="0" collapsed="false">
      <c r="A85" s="4" t="n">
        <v>81</v>
      </c>
      <c r="B85" s="4" t="s">
        <v>1335</v>
      </c>
      <c r="C85" s="4" t="s">
        <v>1339</v>
      </c>
      <c r="D85" s="4" t="s">
        <v>224</v>
      </c>
      <c r="E85" s="4"/>
      <c r="F85" s="4"/>
    </row>
    <row r="86" customFormat="false" ht="55.5" hidden="false" customHeight="true" outlineLevel="0" collapsed="false">
      <c r="A86" s="5" t="n">
        <v>82</v>
      </c>
      <c r="B86" s="5" t="s">
        <v>1335</v>
      </c>
      <c r="C86" s="5" t="s">
        <v>1340</v>
      </c>
      <c r="D86" s="5" t="s">
        <v>224</v>
      </c>
      <c r="E86" s="5" t="s">
        <v>1341</v>
      </c>
      <c r="F86" s="5"/>
    </row>
    <row r="87" customFormat="false" ht="55.5" hidden="false" customHeight="true" outlineLevel="0" collapsed="false">
      <c r="A87" s="4" t="n">
        <v>83</v>
      </c>
      <c r="B87" s="4" t="s">
        <v>1335</v>
      </c>
      <c r="C87" s="4" t="s">
        <v>1342</v>
      </c>
      <c r="D87" s="4" t="s">
        <v>227</v>
      </c>
      <c r="E87" s="4" t="s">
        <v>1343</v>
      </c>
      <c r="F87" s="4"/>
    </row>
    <row r="88" customFormat="false" ht="55.5" hidden="false" customHeight="true" outlineLevel="0" collapsed="false">
      <c r="A88" s="5" t="n">
        <v>84</v>
      </c>
      <c r="B88" s="5" t="s">
        <v>1335</v>
      </c>
      <c r="C88" s="5" t="s">
        <v>1344</v>
      </c>
      <c r="D88" s="5" t="s">
        <v>227</v>
      </c>
      <c r="E88" s="5"/>
      <c r="F88" s="5"/>
    </row>
    <row r="89" customFormat="false" ht="55.5" hidden="false" customHeight="true" outlineLevel="0" collapsed="false">
      <c r="A89" s="4" t="n">
        <v>85</v>
      </c>
      <c r="B89" s="4" t="s">
        <v>1335</v>
      </c>
      <c r="C89" s="4" t="s">
        <v>1345</v>
      </c>
      <c r="D89" s="4" t="s">
        <v>229</v>
      </c>
      <c r="E89" s="4" t="s">
        <v>1346</v>
      </c>
      <c r="F89" s="4"/>
    </row>
    <row r="90" customFormat="false" ht="55.5" hidden="false" customHeight="true" outlineLevel="0" collapsed="false">
      <c r="A90" s="5" t="n">
        <v>86</v>
      </c>
      <c r="B90" s="5" t="s">
        <v>1335</v>
      </c>
      <c r="C90" s="5" t="s">
        <v>1347</v>
      </c>
      <c r="D90" s="5" t="s">
        <v>229</v>
      </c>
      <c r="E90" s="5"/>
      <c r="F90" s="5"/>
    </row>
    <row r="91" customFormat="false" ht="55.5" hidden="false" customHeight="true" outlineLevel="0" collapsed="false">
      <c r="A91" s="4" t="n">
        <v>87</v>
      </c>
      <c r="B91" s="4" t="s">
        <v>1335</v>
      </c>
      <c r="C91" s="4" t="s">
        <v>1348</v>
      </c>
      <c r="D91" s="4" t="s">
        <v>1349</v>
      </c>
      <c r="E91" s="4"/>
      <c r="F91" s="4" t="s">
        <v>1350</v>
      </c>
    </row>
    <row r="92" customFormat="false" ht="55.5" hidden="false" customHeight="true" outlineLevel="0" collapsed="false">
      <c r="A92" s="5" t="n">
        <v>88</v>
      </c>
      <c r="B92" s="5" t="s">
        <v>1351</v>
      </c>
      <c r="C92" s="5" t="s">
        <v>1352</v>
      </c>
      <c r="D92" s="5" t="s">
        <v>232</v>
      </c>
      <c r="E92" s="5" t="s">
        <v>1353</v>
      </c>
      <c r="F92" s="5"/>
    </row>
    <row r="93" customFormat="false" ht="55.5" hidden="false" customHeight="true" outlineLevel="0" collapsed="false">
      <c r="A93" s="4" t="n">
        <v>89</v>
      </c>
      <c r="B93" s="4" t="s">
        <v>1351</v>
      </c>
      <c r="C93" s="4" t="s">
        <v>1354</v>
      </c>
      <c r="D93" s="4" t="s">
        <v>232</v>
      </c>
      <c r="E93" s="4"/>
      <c r="F93" s="4"/>
    </row>
    <row r="94" customFormat="false" ht="55.5" hidden="false" customHeight="true" outlineLevel="0" collapsed="false">
      <c r="A94" s="5" t="n">
        <v>90</v>
      </c>
      <c r="B94" s="5" t="s">
        <v>1351</v>
      </c>
      <c r="C94" s="5" t="s">
        <v>1355</v>
      </c>
      <c r="D94" s="5" t="s">
        <v>232</v>
      </c>
      <c r="E94" s="5"/>
      <c r="F94" s="5"/>
    </row>
    <row r="95" customFormat="false" ht="55.5" hidden="false" customHeight="true" outlineLevel="0" collapsed="false">
      <c r="A95" s="4" t="n">
        <v>91</v>
      </c>
      <c r="B95" s="4" t="s">
        <v>1351</v>
      </c>
      <c r="C95" s="4" t="s">
        <v>1356</v>
      </c>
      <c r="D95" s="4" t="s">
        <v>234</v>
      </c>
      <c r="E95" s="4" t="s">
        <v>1357</v>
      </c>
      <c r="F95" s="4"/>
    </row>
    <row r="96" customFormat="false" ht="55.5" hidden="false" customHeight="true" outlineLevel="0" collapsed="false">
      <c r="A96" s="5" t="n">
        <v>92</v>
      </c>
      <c r="B96" s="5" t="s">
        <v>1351</v>
      </c>
      <c r="C96" s="5" t="s">
        <v>1358</v>
      </c>
      <c r="D96" s="5" t="s">
        <v>234</v>
      </c>
      <c r="E96" s="5"/>
      <c r="F96" s="5"/>
    </row>
    <row r="97" customFormat="false" ht="55.5" hidden="false" customHeight="true" outlineLevel="0" collapsed="false">
      <c r="A97" s="4" t="n">
        <v>93</v>
      </c>
      <c r="B97" s="4" t="s">
        <v>1351</v>
      </c>
      <c r="C97" s="4" t="s">
        <v>1359</v>
      </c>
      <c r="D97" s="4" t="s">
        <v>236</v>
      </c>
      <c r="E97" s="4" t="s">
        <v>1360</v>
      </c>
      <c r="F97" s="4"/>
    </row>
    <row r="98" customFormat="false" ht="55.5" hidden="false" customHeight="true" outlineLevel="0" collapsed="false">
      <c r="A98" s="5" t="n">
        <v>94</v>
      </c>
      <c r="B98" s="5" t="s">
        <v>1351</v>
      </c>
      <c r="C98" s="5" t="s">
        <v>1361</v>
      </c>
      <c r="D98" s="5" t="s">
        <v>236</v>
      </c>
      <c r="E98" s="5"/>
      <c r="F98" s="5"/>
    </row>
    <row r="99" customFormat="false" ht="55.5" hidden="false" customHeight="true" outlineLevel="0" collapsed="false">
      <c r="A99" s="4" t="n">
        <v>95</v>
      </c>
      <c r="B99" s="4" t="s">
        <v>1362</v>
      </c>
      <c r="C99" s="4" t="s">
        <v>1363</v>
      </c>
      <c r="D99" s="4" t="s">
        <v>1078</v>
      </c>
      <c r="E99" s="4" t="s">
        <v>1364</v>
      </c>
      <c r="F99" s="4"/>
    </row>
    <row r="100" customFormat="false" ht="55.5" hidden="false" customHeight="true" outlineLevel="0" collapsed="false">
      <c r="A100" s="5" t="n">
        <v>96</v>
      </c>
      <c r="B100" s="5" t="s">
        <v>1362</v>
      </c>
      <c r="C100" s="5" t="s">
        <v>1365</v>
      </c>
      <c r="D100" s="5" t="s">
        <v>1078</v>
      </c>
      <c r="E100" s="5"/>
      <c r="F100" s="5"/>
    </row>
    <row r="101" customFormat="false" ht="55.5" hidden="false" customHeight="true" outlineLevel="0" collapsed="false">
      <c r="A101" s="4" t="n">
        <v>97</v>
      </c>
      <c r="B101" s="4" t="s">
        <v>1362</v>
      </c>
      <c r="C101" s="4" t="s">
        <v>1366</v>
      </c>
      <c r="D101" s="4" t="s">
        <v>1078</v>
      </c>
      <c r="E101" s="4"/>
      <c r="F101" s="4"/>
    </row>
    <row r="102" customFormat="false" ht="55.5" hidden="false" customHeight="true" outlineLevel="0" collapsed="false">
      <c r="A102" s="5" t="n">
        <v>98</v>
      </c>
      <c r="B102" s="5" t="s">
        <v>1362</v>
      </c>
      <c r="C102" s="5" t="s">
        <v>1367</v>
      </c>
      <c r="D102" s="5" t="s">
        <v>242</v>
      </c>
      <c r="E102" s="5" t="s">
        <v>1368</v>
      </c>
      <c r="F102" s="5"/>
    </row>
    <row r="103" customFormat="false" ht="55.5" hidden="false" customHeight="true" outlineLevel="0" collapsed="false">
      <c r="A103" s="4" t="n">
        <v>99</v>
      </c>
      <c r="B103" s="4" t="s">
        <v>1362</v>
      </c>
      <c r="C103" s="4" t="s">
        <v>1369</v>
      </c>
      <c r="D103" s="4" t="s">
        <v>242</v>
      </c>
      <c r="E103" s="4"/>
      <c r="F103" s="4"/>
    </row>
    <row r="104" customFormat="false" ht="55.5" hidden="false" customHeight="true" outlineLevel="0" collapsed="false">
      <c r="A104" s="5" t="n">
        <v>100</v>
      </c>
      <c r="B104" s="5" t="s">
        <v>1362</v>
      </c>
      <c r="C104" s="5" t="s">
        <v>1370</v>
      </c>
      <c r="D104" s="5" t="s">
        <v>242</v>
      </c>
      <c r="E104" s="5" t="s">
        <v>1371</v>
      </c>
      <c r="F104" s="5"/>
    </row>
    <row r="105" customFormat="false" ht="55.5" hidden="false" customHeight="true" outlineLevel="0" collapsed="false">
      <c r="A105" s="4" t="n">
        <v>101</v>
      </c>
      <c r="B105" s="4" t="s">
        <v>1372</v>
      </c>
      <c r="C105" s="4" t="s">
        <v>1373</v>
      </c>
      <c r="D105" s="4" t="s">
        <v>1093</v>
      </c>
      <c r="E105" s="4" t="s">
        <v>1374</v>
      </c>
      <c r="F105" s="4"/>
    </row>
    <row r="106" customFormat="false" ht="55.5" hidden="false" customHeight="true" outlineLevel="0" collapsed="false">
      <c r="A106" s="5" t="n">
        <v>102</v>
      </c>
      <c r="B106" s="5" t="s">
        <v>1372</v>
      </c>
      <c r="C106" s="5" t="s">
        <v>1375</v>
      </c>
      <c r="D106" s="5" t="s">
        <v>1093</v>
      </c>
      <c r="E106" s="5"/>
      <c r="F106" s="5"/>
    </row>
    <row r="107" customFormat="false" ht="55.5" hidden="false" customHeight="true" outlineLevel="0" collapsed="false">
      <c r="A107" s="4" t="n">
        <v>103</v>
      </c>
      <c r="B107" s="4" t="s">
        <v>1372</v>
      </c>
      <c r="C107" s="4" t="s">
        <v>1376</v>
      </c>
      <c r="D107" s="4" t="s">
        <v>1093</v>
      </c>
      <c r="E107" s="4"/>
      <c r="F107" s="4"/>
    </row>
    <row r="108" customFormat="false" ht="55.5" hidden="false" customHeight="true" outlineLevel="0" collapsed="false">
      <c r="A108" s="5" t="n">
        <v>104</v>
      </c>
      <c r="B108" s="5" t="s">
        <v>1372</v>
      </c>
      <c r="C108" s="5" t="s">
        <v>1377</v>
      </c>
      <c r="D108" s="5" t="s">
        <v>1093</v>
      </c>
      <c r="E108" s="5"/>
      <c r="F108" s="5" t="s">
        <v>1378</v>
      </c>
    </row>
    <row r="109" customFormat="false" ht="55.5" hidden="false" customHeight="true" outlineLevel="0" collapsed="false">
      <c r="A109" s="4" t="n">
        <v>105</v>
      </c>
      <c r="B109" s="4" t="s">
        <v>1372</v>
      </c>
      <c r="C109" s="4" t="s">
        <v>1379</v>
      </c>
      <c r="D109" s="4" t="s">
        <v>1380</v>
      </c>
      <c r="E109" s="4"/>
      <c r="F109" s="4"/>
    </row>
    <row r="110" customFormat="false" ht="55.5" hidden="false" customHeight="true" outlineLevel="0" collapsed="false">
      <c r="A110" s="5" t="n">
        <v>106</v>
      </c>
      <c r="B110" s="5" t="s">
        <v>1372</v>
      </c>
      <c r="C110" s="5" t="s">
        <v>1381</v>
      </c>
      <c r="D110" s="5" t="s">
        <v>1093</v>
      </c>
      <c r="E110" s="5"/>
      <c r="F110" s="5"/>
    </row>
    <row r="111" customFormat="false" ht="55.5" hidden="false" customHeight="true" outlineLevel="0" collapsed="false">
      <c r="A111" s="4" t="n">
        <v>107</v>
      </c>
      <c r="B111" s="4" t="s">
        <v>1372</v>
      </c>
      <c r="C111" s="4" t="s">
        <v>1382</v>
      </c>
      <c r="D111" s="4" t="s">
        <v>1101</v>
      </c>
      <c r="E111" s="4"/>
      <c r="F111" s="4"/>
    </row>
    <row r="112" customFormat="false" ht="55.5" hidden="false" customHeight="true" outlineLevel="0" collapsed="false">
      <c r="A112" s="5" t="n">
        <v>108</v>
      </c>
      <c r="B112" s="5" t="s">
        <v>1372</v>
      </c>
      <c r="C112" s="5" t="s">
        <v>1383</v>
      </c>
      <c r="D112" s="5" t="s">
        <v>1101</v>
      </c>
      <c r="E112" s="5"/>
      <c r="F112" s="5"/>
    </row>
    <row r="113" customFormat="false" ht="55.5" hidden="false" customHeight="true" outlineLevel="0" collapsed="false">
      <c r="A113" s="4" t="n">
        <v>109</v>
      </c>
      <c r="B113" s="4" t="s">
        <v>1372</v>
      </c>
      <c r="C113" s="4" t="s">
        <v>1384</v>
      </c>
      <c r="D113" s="4" t="s">
        <v>1101</v>
      </c>
      <c r="E113" s="4"/>
      <c r="F113" s="4" t="s">
        <v>1385</v>
      </c>
    </row>
    <row r="114" customFormat="false" ht="55.5" hidden="false" customHeight="true" outlineLevel="0" collapsed="false">
      <c r="A114" s="5" t="n">
        <v>110</v>
      </c>
      <c r="B114" s="5" t="s">
        <v>1386</v>
      </c>
      <c r="C114" s="5" t="s">
        <v>1387</v>
      </c>
      <c r="D114" s="5" t="s">
        <v>246</v>
      </c>
      <c r="E114" s="5" t="s">
        <v>1388</v>
      </c>
      <c r="F114" s="5"/>
    </row>
    <row r="115" customFormat="false" ht="55.5" hidden="false" customHeight="true" outlineLevel="0" collapsed="false">
      <c r="A115" s="4" t="n">
        <v>111</v>
      </c>
      <c r="B115" s="4" t="s">
        <v>1386</v>
      </c>
      <c r="C115" s="4" t="s">
        <v>1389</v>
      </c>
      <c r="D115" s="4" t="s">
        <v>246</v>
      </c>
      <c r="E115" s="4"/>
      <c r="F115" s="4"/>
    </row>
    <row r="116" customFormat="false" ht="55.5" hidden="false" customHeight="true" outlineLevel="0" collapsed="false">
      <c r="A116" s="5" t="n">
        <v>112</v>
      </c>
      <c r="B116" s="5" t="s">
        <v>1386</v>
      </c>
      <c r="C116" s="5" t="s">
        <v>1390</v>
      </c>
      <c r="D116" s="5" t="s">
        <v>249</v>
      </c>
      <c r="E116" s="5" t="s">
        <v>1391</v>
      </c>
      <c r="F116" s="5"/>
    </row>
    <row r="117" customFormat="false" ht="55.5" hidden="false" customHeight="true" outlineLevel="0" collapsed="false">
      <c r="A117" s="4" t="n">
        <v>113</v>
      </c>
      <c r="B117" s="4" t="s">
        <v>1386</v>
      </c>
      <c r="C117" s="4" t="s">
        <v>1392</v>
      </c>
      <c r="D117" s="4" t="s">
        <v>249</v>
      </c>
      <c r="E117" s="4"/>
      <c r="F117" s="4"/>
    </row>
    <row r="118" customFormat="false" ht="55.5" hidden="false" customHeight="true" outlineLevel="0" collapsed="false">
      <c r="A118" s="5" t="n">
        <v>114</v>
      </c>
      <c r="B118" s="5" t="s">
        <v>1386</v>
      </c>
      <c r="C118" s="5" t="s">
        <v>1393</v>
      </c>
      <c r="D118" s="5" t="s">
        <v>253</v>
      </c>
      <c r="E118" s="5"/>
      <c r="F118" s="5"/>
    </row>
    <row r="119" customFormat="false" ht="55.5" hidden="false" customHeight="true" outlineLevel="0" collapsed="false">
      <c r="A119" s="4" t="n">
        <v>115</v>
      </c>
      <c r="B119" s="4" t="s">
        <v>1386</v>
      </c>
      <c r="C119" s="4" t="s">
        <v>1394</v>
      </c>
      <c r="D119" s="4" t="s">
        <v>253</v>
      </c>
      <c r="E119" s="4"/>
      <c r="F119" s="4" t="s">
        <v>1395</v>
      </c>
    </row>
    <row r="120" customFormat="false" ht="55.5" hidden="false" customHeight="true" outlineLevel="0" collapsed="false">
      <c r="A120" s="5" t="n">
        <v>116</v>
      </c>
      <c r="B120" s="5" t="s">
        <v>1386</v>
      </c>
      <c r="C120" s="5" t="s">
        <v>1396</v>
      </c>
      <c r="D120" s="5" t="s">
        <v>256</v>
      </c>
      <c r="E120" s="5"/>
      <c r="F120" s="5"/>
    </row>
    <row r="121" customFormat="false" ht="55.5" hidden="false" customHeight="true" outlineLevel="0" collapsed="false">
      <c r="A121" s="4" t="n">
        <v>117</v>
      </c>
      <c r="B121" s="4" t="s">
        <v>1386</v>
      </c>
      <c r="C121" s="4" t="s">
        <v>1397</v>
      </c>
      <c r="D121" s="4" t="s">
        <v>256</v>
      </c>
      <c r="E121" s="4"/>
      <c r="F121" s="4" t="s">
        <v>1398</v>
      </c>
    </row>
    <row r="122" customFormat="false" ht="55.5" hidden="false" customHeight="true" outlineLevel="0" collapsed="false">
      <c r="A122" s="5" t="n">
        <v>118</v>
      </c>
      <c r="B122" s="5" t="s">
        <v>1386</v>
      </c>
      <c r="C122" s="5" t="s">
        <v>1399</v>
      </c>
      <c r="D122" s="5" t="s">
        <v>259</v>
      </c>
      <c r="E122" s="5" t="s">
        <v>1400</v>
      </c>
      <c r="F122" s="5"/>
    </row>
    <row r="123" customFormat="false" ht="55.5" hidden="false" customHeight="true" outlineLevel="0" collapsed="false">
      <c r="A123" s="4" t="n">
        <v>119</v>
      </c>
      <c r="B123" s="4" t="s">
        <v>1386</v>
      </c>
      <c r="C123" s="4" t="s">
        <v>1401</v>
      </c>
      <c r="D123" s="4" t="s">
        <v>259</v>
      </c>
      <c r="E123" s="4"/>
      <c r="F123" s="4"/>
    </row>
    <row r="124" customFormat="false" ht="55.5" hidden="false" customHeight="true" outlineLevel="0" collapsed="false">
      <c r="A124" s="5" t="n">
        <v>120</v>
      </c>
      <c r="B124" s="5" t="s">
        <v>165</v>
      </c>
      <c r="C124" s="5" t="s">
        <v>1402</v>
      </c>
      <c r="D124" s="5" t="s">
        <v>251</v>
      </c>
      <c r="E124" s="5"/>
      <c r="F124" s="5"/>
    </row>
    <row r="125" customFormat="false" ht="55.5" hidden="false" customHeight="true" outlineLevel="0" collapsed="false">
      <c r="A125" s="4" t="n">
        <v>121</v>
      </c>
      <c r="B125" s="4" t="s">
        <v>165</v>
      </c>
      <c r="C125" s="4" t="s">
        <v>1403</v>
      </c>
      <c r="D125" s="4" t="s">
        <v>251</v>
      </c>
      <c r="E125" s="4" t="s">
        <v>1404</v>
      </c>
      <c r="F125" s="4" t="s">
        <v>1405</v>
      </c>
    </row>
    <row r="126" customFormat="false" ht="55.5" hidden="false" customHeight="true" outlineLevel="0" collapsed="false">
      <c r="A126" s="5" t="n">
        <v>122</v>
      </c>
      <c r="B126" s="5" t="s">
        <v>165</v>
      </c>
      <c r="C126" s="5" t="s">
        <v>1406</v>
      </c>
      <c r="D126" s="5" t="s">
        <v>251</v>
      </c>
      <c r="E126" s="5"/>
      <c r="F126" s="5"/>
    </row>
    <row r="127" customFormat="false" ht="55.5" hidden="false" customHeight="true" outlineLevel="0" collapsed="false">
      <c r="A127" s="4" t="n">
        <v>123</v>
      </c>
      <c r="B127" s="4" t="s">
        <v>165</v>
      </c>
      <c r="C127" s="4" t="s">
        <v>1407</v>
      </c>
      <c r="D127" s="4" t="s">
        <v>1408</v>
      </c>
      <c r="E127" s="4" t="s">
        <v>1409</v>
      </c>
      <c r="F127" s="4"/>
    </row>
    <row r="128" customFormat="false" ht="55.5" hidden="false" customHeight="true" outlineLevel="0" collapsed="false">
      <c r="A128" s="5" t="n">
        <v>124</v>
      </c>
      <c r="B128" s="5" t="s">
        <v>165</v>
      </c>
      <c r="C128" s="5" t="s">
        <v>1410</v>
      </c>
      <c r="D128" s="5" t="s">
        <v>1408</v>
      </c>
      <c r="E128" s="5"/>
      <c r="F128" s="5"/>
    </row>
    <row r="129" customFormat="false" ht="55.5" hidden="false" customHeight="true" outlineLevel="0" collapsed="false">
      <c r="A129" s="4" t="n">
        <v>125</v>
      </c>
      <c r="B129" s="4" t="s">
        <v>165</v>
      </c>
      <c r="C129" s="4" t="s">
        <v>1411</v>
      </c>
      <c r="D129" s="4" t="s">
        <v>1408</v>
      </c>
      <c r="E129" s="4"/>
      <c r="F129" s="4"/>
    </row>
    <row r="130" customFormat="false" ht="55.5" hidden="false" customHeight="true" outlineLevel="0" collapsed="false">
      <c r="A130" s="5" t="n">
        <v>126</v>
      </c>
      <c r="B130" s="5" t="s">
        <v>165</v>
      </c>
      <c r="C130" s="5" t="s">
        <v>1412</v>
      </c>
      <c r="D130" s="5" t="s">
        <v>1413</v>
      </c>
      <c r="E130" s="5"/>
      <c r="F130" s="5"/>
    </row>
    <row r="131" customFormat="false" ht="55.5" hidden="false" customHeight="true" outlineLevel="0" collapsed="false">
      <c r="A131" s="4" t="n">
        <v>127</v>
      </c>
      <c r="B131" s="4" t="s">
        <v>165</v>
      </c>
      <c r="C131" s="4" t="s">
        <v>1414</v>
      </c>
      <c r="D131" s="4" t="s">
        <v>1413</v>
      </c>
      <c r="E131" s="4" t="s">
        <v>1415</v>
      </c>
      <c r="F131" s="4"/>
    </row>
    <row r="132" customFormat="false" ht="55.5" hidden="false" customHeight="true" outlineLevel="0" collapsed="false">
      <c r="A132" s="5" t="n">
        <v>128</v>
      </c>
      <c r="B132" s="5" t="s">
        <v>165</v>
      </c>
      <c r="C132" s="5" t="s">
        <v>1416</v>
      </c>
      <c r="D132" s="5" t="s">
        <v>251</v>
      </c>
      <c r="E132" s="5"/>
      <c r="F132" s="5"/>
    </row>
    <row r="133" customFormat="false" ht="55.5" hidden="false" customHeight="true" outlineLevel="0" collapsed="false">
      <c r="A133" s="4" t="n">
        <v>129</v>
      </c>
      <c r="B133" s="4" t="s">
        <v>165</v>
      </c>
      <c r="C133" s="4" t="s">
        <v>1417</v>
      </c>
      <c r="D133" s="4" t="s">
        <v>251</v>
      </c>
      <c r="E133" s="4"/>
      <c r="F133" s="4"/>
    </row>
    <row r="134" customFormat="false" ht="55.5" hidden="false" customHeight="true" outlineLevel="0" collapsed="false">
      <c r="A134" s="5" t="n">
        <v>130</v>
      </c>
      <c r="B134" s="5" t="s">
        <v>165</v>
      </c>
      <c r="C134" s="5" t="s">
        <v>1418</v>
      </c>
      <c r="D134" s="5" t="s">
        <v>1419</v>
      </c>
      <c r="E134" s="5"/>
      <c r="F134" s="5"/>
    </row>
    <row r="135" customFormat="false" ht="55.5" hidden="false" customHeight="true" outlineLevel="0" collapsed="false">
      <c r="A135" s="4" t="n">
        <v>131</v>
      </c>
      <c r="B135" s="4" t="s">
        <v>165</v>
      </c>
      <c r="C135" s="4" t="s">
        <v>1420</v>
      </c>
      <c r="D135" s="4" t="s">
        <v>1419</v>
      </c>
      <c r="E135" s="4"/>
      <c r="F135" s="4"/>
    </row>
    <row r="136" customFormat="false" ht="55.5" hidden="false" customHeight="true" outlineLevel="0" collapsed="false">
      <c r="A136" s="5" t="n">
        <v>132</v>
      </c>
      <c r="B136" s="5" t="s">
        <v>165</v>
      </c>
      <c r="C136" s="5" t="s">
        <v>1421</v>
      </c>
      <c r="D136" s="5" t="s">
        <v>267</v>
      </c>
      <c r="E136" s="5" t="s">
        <v>1422</v>
      </c>
      <c r="F136" s="5"/>
    </row>
    <row r="137" customFormat="false" ht="55.5" hidden="false" customHeight="true" outlineLevel="0" collapsed="false">
      <c r="A137" s="4" t="n">
        <v>133</v>
      </c>
      <c r="B137" s="4" t="s">
        <v>165</v>
      </c>
      <c r="C137" s="4" t="s">
        <v>1423</v>
      </c>
      <c r="D137" s="4" t="s">
        <v>267</v>
      </c>
      <c r="E137" s="4"/>
      <c r="F137" s="4"/>
    </row>
    <row r="138" customFormat="false" ht="55.5" hidden="false" customHeight="true" outlineLevel="0" collapsed="false">
      <c r="A138" s="5" t="n">
        <v>134</v>
      </c>
      <c r="B138" s="5" t="s">
        <v>165</v>
      </c>
      <c r="C138" s="5" t="s">
        <v>1424</v>
      </c>
      <c r="D138" s="5" t="s">
        <v>267</v>
      </c>
      <c r="E138" s="5"/>
      <c r="F138" s="5" t="s">
        <v>1425</v>
      </c>
    </row>
    <row r="139" customFormat="false" ht="55.5" hidden="false" customHeight="true" outlineLevel="0" collapsed="false">
      <c r="A139" s="4" t="n">
        <v>135</v>
      </c>
      <c r="B139" s="4" t="s">
        <v>1426</v>
      </c>
      <c r="C139" s="4" t="s">
        <v>1427</v>
      </c>
      <c r="D139" s="4" t="s">
        <v>261</v>
      </c>
      <c r="E139" s="4" t="s">
        <v>1428</v>
      </c>
      <c r="F139" s="4"/>
    </row>
    <row r="140" customFormat="false" ht="55.5" hidden="false" customHeight="true" outlineLevel="0" collapsed="false">
      <c r="A140" s="5" t="n">
        <v>136</v>
      </c>
      <c r="B140" s="5" t="s">
        <v>1426</v>
      </c>
      <c r="C140" s="5" t="s">
        <v>1429</v>
      </c>
      <c r="D140" s="5" t="s">
        <v>261</v>
      </c>
      <c r="E140" s="5"/>
      <c r="F140" s="5"/>
    </row>
    <row r="141" customFormat="false" ht="55.5" hidden="false" customHeight="true" outlineLevel="0" collapsed="false">
      <c r="A141" s="4" t="n">
        <v>137</v>
      </c>
      <c r="B141" s="4" t="s">
        <v>1426</v>
      </c>
      <c r="C141" s="4" t="s">
        <v>1430</v>
      </c>
      <c r="D141" s="4" t="s">
        <v>261</v>
      </c>
      <c r="E141" s="4"/>
      <c r="F141" s="4"/>
    </row>
    <row r="142" customFormat="false" ht="55.5" hidden="false" customHeight="true" outlineLevel="0" collapsed="false">
      <c r="A142" s="5" t="n">
        <v>138</v>
      </c>
      <c r="B142" s="5" t="s">
        <v>1426</v>
      </c>
      <c r="C142" s="5" t="s">
        <v>1431</v>
      </c>
      <c r="D142" s="5" t="s">
        <v>263</v>
      </c>
      <c r="E142" s="5"/>
      <c r="F142" s="5"/>
    </row>
    <row r="143" customFormat="false" ht="55.5" hidden="false" customHeight="true" outlineLevel="0" collapsed="false">
      <c r="A143" s="4" t="n">
        <v>139</v>
      </c>
      <c r="B143" s="4" t="s">
        <v>1426</v>
      </c>
      <c r="C143" s="4" t="s">
        <v>1432</v>
      </c>
      <c r="D143" s="4" t="s">
        <v>263</v>
      </c>
      <c r="E143" s="4"/>
      <c r="F143" s="4"/>
    </row>
    <row r="144" customFormat="false" ht="55.5" hidden="false" customHeight="true" outlineLevel="0" collapsed="false">
      <c r="A144" s="5" t="n">
        <v>140</v>
      </c>
      <c r="B144" s="5" t="s">
        <v>1426</v>
      </c>
      <c r="C144" s="5" t="s">
        <v>1433</v>
      </c>
      <c r="D144" s="5" t="s">
        <v>265</v>
      </c>
      <c r="E144" s="5" t="s">
        <v>1434</v>
      </c>
      <c r="F144" s="5"/>
    </row>
    <row r="145" customFormat="false" ht="55.5" hidden="false" customHeight="true" outlineLevel="0" collapsed="false">
      <c r="A145" s="4" t="n">
        <v>141</v>
      </c>
      <c r="B145" s="4" t="s">
        <v>1426</v>
      </c>
      <c r="C145" s="4" t="s">
        <v>1435</v>
      </c>
      <c r="D145" s="4" t="s">
        <v>265</v>
      </c>
      <c r="E145" s="4"/>
      <c r="F145" s="4"/>
    </row>
    <row r="146" customFormat="false" ht="55.5" hidden="false" customHeight="true" outlineLevel="0" collapsed="false">
      <c r="A146" s="5" t="n">
        <v>142</v>
      </c>
      <c r="B146" s="5" t="s">
        <v>1426</v>
      </c>
      <c r="C146" s="5" t="s">
        <v>1436</v>
      </c>
      <c r="D146" s="5" t="s">
        <v>267</v>
      </c>
      <c r="E146" s="5"/>
      <c r="F146" s="5"/>
    </row>
    <row r="147" customFormat="false" ht="55.5" hidden="false" customHeight="true" outlineLevel="0" collapsed="false">
      <c r="A147" s="4" t="n">
        <v>143</v>
      </c>
      <c r="B147" s="4" t="s">
        <v>1426</v>
      </c>
      <c r="C147" s="4" t="s">
        <v>1437</v>
      </c>
      <c r="D147" s="4" t="s">
        <v>267</v>
      </c>
      <c r="E147" s="4"/>
      <c r="F147" s="4" t="s">
        <v>1438</v>
      </c>
    </row>
    <row r="148" customFormat="false" ht="55.5" hidden="false" customHeight="true" outlineLevel="0" collapsed="false">
      <c r="A148" s="5" t="n">
        <v>144</v>
      </c>
      <c r="B148" s="5" t="s">
        <v>1439</v>
      </c>
      <c r="C148" s="5" t="s">
        <v>1440</v>
      </c>
      <c r="D148" s="5" t="s">
        <v>1212</v>
      </c>
      <c r="E148" s="5"/>
      <c r="F148" s="5"/>
    </row>
    <row r="149" customFormat="false" ht="55.5" hidden="false" customHeight="true" outlineLevel="0" collapsed="false">
      <c r="A149" s="4" t="n">
        <v>145</v>
      </c>
      <c r="B149" s="4" t="s">
        <v>1439</v>
      </c>
      <c r="C149" s="4" t="s">
        <v>1441</v>
      </c>
      <c r="D149" s="4" t="s">
        <v>1212</v>
      </c>
      <c r="E149" s="4"/>
      <c r="F149" s="4"/>
    </row>
    <row r="150" customFormat="false" ht="55.5" hidden="false" customHeight="true" outlineLevel="0" collapsed="false">
      <c r="A150" s="5" t="n">
        <v>146</v>
      </c>
      <c r="B150" s="5" t="s">
        <v>1439</v>
      </c>
      <c r="C150" s="5" t="s">
        <v>1442</v>
      </c>
      <c r="D150" s="5" t="s">
        <v>1212</v>
      </c>
      <c r="E150" s="5"/>
      <c r="F150" s="5" t="s">
        <v>1443</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1444</v>
      </c>
    </row>
    <row r="2" customFormat="false" ht="15" hidden="false" customHeight="false" outlineLevel="0" collapsed="false">
      <c r="A2" s="2" t="s">
        <v>1445</v>
      </c>
    </row>
    <row r="4" customFormat="false" ht="30" hidden="false" customHeight="true" outlineLevel="0" collapsed="false">
      <c r="A4" s="3" t="s">
        <v>609</v>
      </c>
      <c r="B4" s="3" t="s">
        <v>610</v>
      </c>
      <c r="C4" s="3" t="s">
        <v>1446</v>
      </c>
      <c r="D4" s="3" t="s">
        <v>1447</v>
      </c>
      <c r="E4" s="3" t="s">
        <v>1448</v>
      </c>
    </row>
    <row r="5" customFormat="false" ht="25.5" hidden="false" customHeight="true" outlineLevel="0" collapsed="false">
      <c r="A5" s="4" t="s">
        <v>195</v>
      </c>
      <c r="B5" s="4" t="s">
        <v>1449</v>
      </c>
      <c r="C5" s="4" t="s">
        <v>1450</v>
      </c>
      <c r="D5" s="4" t="s">
        <v>1451</v>
      </c>
      <c r="E5" s="4" t="s">
        <v>622</v>
      </c>
    </row>
    <row r="6" customFormat="false" ht="25.5" hidden="false" customHeight="true" outlineLevel="0" collapsed="false">
      <c r="A6" s="5" t="s">
        <v>195</v>
      </c>
      <c r="B6" s="5" t="s">
        <v>1449</v>
      </c>
      <c r="C6" s="5" t="s">
        <v>1452</v>
      </c>
      <c r="D6" s="5" t="s">
        <v>1453</v>
      </c>
      <c r="E6" s="5" t="s">
        <v>622</v>
      </c>
    </row>
    <row r="7" customFormat="false" ht="25.5" hidden="false" customHeight="true" outlineLevel="0" collapsed="false">
      <c r="A7" s="4" t="s">
        <v>195</v>
      </c>
      <c r="B7" s="4" t="s">
        <v>1449</v>
      </c>
      <c r="C7" s="4" t="s">
        <v>1454</v>
      </c>
      <c r="D7" s="4" t="s">
        <v>138</v>
      </c>
      <c r="E7" s="4" t="s">
        <v>622</v>
      </c>
    </row>
    <row r="8" customFormat="false" ht="25.5" hidden="false" customHeight="true" outlineLevel="0" collapsed="false">
      <c r="A8" s="5" t="s">
        <v>195</v>
      </c>
      <c r="B8" s="5" t="s">
        <v>1449</v>
      </c>
      <c r="C8" s="5" t="s">
        <v>1455</v>
      </c>
      <c r="D8" s="5" t="s">
        <v>1456</v>
      </c>
      <c r="E8" s="5" t="s">
        <v>622</v>
      </c>
    </row>
    <row r="9" customFormat="false" ht="25.5" hidden="false" customHeight="true" outlineLevel="0" collapsed="false">
      <c r="A9" s="4" t="s">
        <v>195</v>
      </c>
      <c r="B9" s="4" t="s">
        <v>1449</v>
      </c>
      <c r="C9" s="4" t="s">
        <v>1457</v>
      </c>
      <c r="D9" s="4" t="s">
        <v>1458</v>
      </c>
      <c r="E9" s="4" t="s">
        <v>622</v>
      </c>
    </row>
    <row r="10" customFormat="false" ht="25.5" hidden="false" customHeight="true" outlineLevel="0" collapsed="false">
      <c r="A10" s="5" t="s">
        <v>195</v>
      </c>
      <c r="B10" s="5" t="s">
        <v>1449</v>
      </c>
      <c r="C10" s="5" t="s">
        <v>1459</v>
      </c>
      <c r="D10" s="5" t="s">
        <v>1460</v>
      </c>
      <c r="E10" s="5" t="s">
        <v>622</v>
      </c>
    </row>
    <row r="11" customFormat="false" ht="25.5" hidden="false" customHeight="true" outlineLevel="0" collapsed="false">
      <c r="A11" s="4" t="s">
        <v>195</v>
      </c>
      <c r="B11" s="4" t="s">
        <v>1449</v>
      </c>
      <c r="C11" s="4" t="s">
        <v>1461</v>
      </c>
      <c r="D11" s="4" t="s">
        <v>1462</v>
      </c>
      <c r="E11" s="4" t="s">
        <v>622</v>
      </c>
    </row>
    <row r="12" customFormat="false" ht="25.5" hidden="false" customHeight="true" outlineLevel="0" collapsed="false">
      <c r="A12" s="5" t="s">
        <v>195</v>
      </c>
      <c r="B12" s="5" t="s">
        <v>1449</v>
      </c>
      <c r="C12" s="5" t="s">
        <v>1463</v>
      </c>
      <c r="D12" s="5" t="s">
        <v>1464</v>
      </c>
      <c r="E12" s="5" t="s">
        <v>622</v>
      </c>
    </row>
    <row r="13" customFormat="false" ht="25.5" hidden="false" customHeight="true" outlineLevel="0" collapsed="false">
      <c r="A13" s="4" t="s">
        <v>195</v>
      </c>
      <c r="B13" s="4" t="s">
        <v>1449</v>
      </c>
      <c r="C13" s="4" t="s">
        <v>1465</v>
      </c>
      <c r="D13" s="4" t="s">
        <v>1466</v>
      </c>
      <c r="E13" s="4" t="s">
        <v>622</v>
      </c>
    </row>
    <row r="14" customFormat="false" ht="25.5" hidden="false" customHeight="true" outlineLevel="0" collapsed="false">
      <c r="A14" s="5" t="s">
        <v>195</v>
      </c>
      <c r="B14" s="5" t="s">
        <v>1449</v>
      </c>
      <c r="C14" s="5" t="s">
        <v>1467</v>
      </c>
      <c r="D14" s="5" t="s">
        <v>1468</v>
      </c>
      <c r="E14" s="5" t="s">
        <v>622</v>
      </c>
    </row>
    <row r="15" customFormat="false" ht="25.5" hidden="false" customHeight="true" outlineLevel="0" collapsed="false">
      <c r="A15" s="4" t="s">
        <v>195</v>
      </c>
      <c r="B15" s="4" t="s">
        <v>1449</v>
      </c>
      <c r="C15" s="4" t="s">
        <v>1469</v>
      </c>
      <c r="D15" s="4" t="s">
        <v>1470</v>
      </c>
      <c r="E15" s="4" t="s">
        <v>622</v>
      </c>
    </row>
    <row r="16" customFormat="false" ht="25.5" hidden="false" customHeight="true" outlineLevel="0" collapsed="false">
      <c r="A16" s="5" t="s">
        <v>195</v>
      </c>
      <c r="B16" s="5" t="s">
        <v>1449</v>
      </c>
      <c r="C16" s="5" t="s">
        <v>1471</v>
      </c>
      <c r="D16" s="5" t="s">
        <v>1472</v>
      </c>
      <c r="E16" s="5" t="s">
        <v>622</v>
      </c>
    </row>
    <row r="17" customFormat="false" ht="25.5" hidden="false" customHeight="true" outlineLevel="0" collapsed="false">
      <c r="A17" s="4" t="s">
        <v>195</v>
      </c>
      <c r="B17" s="4" t="s">
        <v>1449</v>
      </c>
      <c r="C17" s="4" t="s">
        <v>1473</v>
      </c>
      <c r="D17" s="4" t="s">
        <v>1474</v>
      </c>
      <c r="E17" s="4" t="s">
        <v>622</v>
      </c>
    </row>
    <row r="18" customFormat="false" ht="25.5" hidden="false" customHeight="true" outlineLevel="0" collapsed="false">
      <c r="A18" s="5" t="s">
        <v>195</v>
      </c>
      <c r="B18" s="5" t="s">
        <v>1449</v>
      </c>
      <c r="C18" s="5" t="s">
        <v>1475</v>
      </c>
      <c r="D18" s="5" t="s">
        <v>1476</v>
      </c>
      <c r="E18" s="5" t="s">
        <v>622</v>
      </c>
    </row>
    <row r="19" customFormat="false" ht="25.5" hidden="false" customHeight="true" outlineLevel="0" collapsed="false">
      <c r="A19" s="4" t="s">
        <v>195</v>
      </c>
      <c r="B19" s="4" t="s">
        <v>1449</v>
      </c>
      <c r="C19" s="4" t="s">
        <v>1477</v>
      </c>
      <c r="D19" s="4" t="s">
        <v>1478</v>
      </c>
      <c r="E19" s="4" t="s">
        <v>622</v>
      </c>
    </row>
    <row r="20" customFormat="false" ht="25.5" hidden="false" customHeight="true" outlineLevel="0" collapsed="false">
      <c r="A20" s="5" t="s">
        <v>195</v>
      </c>
      <c r="B20" s="5" t="s">
        <v>1449</v>
      </c>
      <c r="C20" s="5" t="s">
        <v>1479</v>
      </c>
      <c r="D20" s="5" t="s">
        <v>1480</v>
      </c>
      <c r="E20" s="5" t="s">
        <v>622</v>
      </c>
    </row>
    <row r="21" customFormat="false" ht="25.5" hidden="false" customHeight="true" outlineLevel="0" collapsed="false">
      <c r="A21" s="4" t="s">
        <v>195</v>
      </c>
      <c r="B21" s="4" t="s">
        <v>1449</v>
      </c>
      <c r="C21" s="4" t="s">
        <v>1481</v>
      </c>
      <c r="D21" s="4" t="s">
        <v>1482</v>
      </c>
      <c r="E21" s="4" t="s">
        <v>622</v>
      </c>
    </row>
    <row r="22" customFormat="false" ht="25.5" hidden="false" customHeight="true" outlineLevel="0" collapsed="false">
      <c r="A22" s="5" t="s">
        <v>195</v>
      </c>
      <c r="B22" s="5" t="s">
        <v>1449</v>
      </c>
      <c r="C22" s="5" t="s">
        <v>1483</v>
      </c>
      <c r="D22" s="5" t="s">
        <v>1484</v>
      </c>
      <c r="E22" s="5" t="s">
        <v>622</v>
      </c>
    </row>
    <row r="23" customFormat="false" ht="25.5" hidden="false" customHeight="true" outlineLevel="0" collapsed="false">
      <c r="A23" s="4" t="s">
        <v>195</v>
      </c>
      <c r="B23" s="4" t="s">
        <v>1449</v>
      </c>
      <c r="C23" s="4" t="s">
        <v>1485</v>
      </c>
      <c r="D23" s="4" t="s">
        <v>1486</v>
      </c>
      <c r="E23" s="4" t="s">
        <v>622</v>
      </c>
    </row>
    <row r="24" customFormat="false" ht="25.5" hidden="false" customHeight="true" outlineLevel="0" collapsed="false">
      <c r="A24" s="5" t="s">
        <v>195</v>
      </c>
      <c r="B24" s="5" t="s">
        <v>1449</v>
      </c>
      <c r="C24" s="5" t="s">
        <v>1487</v>
      </c>
      <c r="D24" s="5" t="s">
        <v>1488</v>
      </c>
      <c r="E24" s="5" t="s">
        <v>622</v>
      </c>
    </row>
    <row r="25" customFormat="false" ht="25.5" hidden="false" customHeight="true" outlineLevel="0" collapsed="false">
      <c r="A25" s="4" t="s">
        <v>195</v>
      </c>
      <c r="B25" s="4" t="s">
        <v>1449</v>
      </c>
      <c r="C25" s="4" t="s">
        <v>1489</v>
      </c>
      <c r="D25" s="4" t="s">
        <v>1490</v>
      </c>
      <c r="E25" s="4" t="s">
        <v>622</v>
      </c>
    </row>
    <row r="26" customFormat="false" ht="25.5" hidden="false" customHeight="true" outlineLevel="0" collapsed="false">
      <c r="A26" s="5" t="s">
        <v>195</v>
      </c>
      <c r="B26" s="5" t="s">
        <v>1449</v>
      </c>
      <c r="C26" s="5" t="s">
        <v>1491</v>
      </c>
      <c r="D26" s="5" t="s">
        <v>1492</v>
      </c>
      <c r="E26" s="5" t="s">
        <v>622</v>
      </c>
    </row>
    <row r="27" customFormat="false" ht="25.5" hidden="false" customHeight="true" outlineLevel="0" collapsed="false">
      <c r="A27" s="4" t="s">
        <v>195</v>
      </c>
      <c r="B27" s="4" t="s">
        <v>1449</v>
      </c>
      <c r="C27" s="4" t="s">
        <v>1493</v>
      </c>
      <c r="D27" s="4" t="s">
        <v>1494</v>
      </c>
      <c r="E27" s="4" t="s">
        <v>622</v>
      </c>
    </row>
    <row r="28" customFormat="false" ht="25.5" hidden="false" customHeight="true" outlineLevel="0" collapsed="false">
      <c r="A28" s="5" t="s">
        <v>195</v>
      </c>
      <c r="B28" s="5" t="s">
        <v>1449</v>
      </c>
      <c r="C28" s="5" t="s">
        <v>1495</v>
      </c>
      <c r="D28" s="5" t="s">
        <v>1496</v>
      </c>
      <c r="E28" s="5" t="s">
        <v>622</v>
      </c>
    </row>
    <row r="29" customFormat="false" ht="25.5" hidden="false" customHeight="true" outlineLevel="0" collapsed="false">
      <c r="A29" s="4" t="s">
        <v>195</v>
      </c>
      <c r="B29" s="4" t="s">
        <v>1449</v>
      </c>
      <c r="C29" s="4" t="s">
        <v>1497</v>
      </c>
      <c r="D29" s="4" t="s">
        <v>1498</v>
      </c>
      <c r="E29" s="4" t="s">
        <v>622</v>
      </c>
    </row>
    <row r="30" customFormat="false" ht="25.5" hidden="false" customHeight="true" outlineLevel="0" collapsed="false">
      <c r="A30" s="5" t="s">
        <v>195</v>
      </c>
      <c r="B30" s="5" t="s">
        <v>1449</v>
      </c>
      <c r="C30" s="5" t="s">
        <v>1499</v>
      </c>
      <c r="D30" s="5" t="s">
        <v>1500</v>
      </c>
      <c r="E30" s="5" t="s">
        <v>622</v>
      </c>
    </row>
    <row r="31" customFormat="false" ht="25.5" hidden="false" customHeight="true" outlineLevel="0" collapsed="false">
      <c r="A31" s="4" t="s">
        <v>195</v>
      </c>
      <c r="B31" s="4" t="s">
        <v>1449</v>
      </c>
      <c r="C31" s="4" t="s">
        <v>1501</v>
      </c>
      <c r="D31" s="4" t="s">
        <v>1502</v>
      </c>
      <c r="E31" s="4" t="s">
        <v>622</v>
      </c>
    </row>
    <row r="32" customFormat="false" ht="25.5" hidden="false" customHeight="true" outlineLevel="0" collapsed="false">
      <c r="A32" s="5" t="s">
        <v>195</v>
      </c>
      <c r="B32" s="5" t="s">
        <v>1449</v>
      </c>
      <c r="C32" s="5" t="s">
        <v>1503</v>
      </c>
      <c r="D32" s="5" t="s">
        <v>1504</v>
      </c>
      <c r="E32" s="5" t="s">
        <v>622</v>
      </c>
    </row>
    <row r="33" customFormat="false" ht="25.5" hidden="false" customHeight="true" outlineLevel="0" collapsed="false">
      <c r="A33" s="4" t="s">
        <v>192</v>
      </c>
      <c r="B33" s="4" t="s">
        <v>1505</v>
      </c>
      <c r="C33" s="4" t="s">
        <v>1506</v>
      </c>
      <c r="D33" s="4" t="s">
        <v>1507</v>
      </c>
      <c r="E33" s="4" t="s">
        <v>622</v>
      </c>
    </row>
    <row r="34" customFormat="false" ht="25.5" hidden="false" customHeight="true" outlineLevel="0" collapsed="false">
      <c r="A34" s="5" t="s">
        <v>192</v>
      </c>
      <c r="B34" s="5" t="s">
        <v>1505</v>
      </c>
      <c r="C34" s="5" t="s">
        <v>1452</v>
      </c>
      <c r="D34" s="5" t="s">
        <v>1508</v>
      </c>
      <c r="E34" s="5" t="s">
        <v>622</v>
      </c>
    </row>
    <row r="35" customFormat="false" ht="25.5" hidden="false" customHeight="true" outlineLevel="0" collapsed="false">
      <c r="A35" s="4" t="s">
        <v>192</v>
      </c>
      <c r="B35" s="4" t="s">
        <v>1505</v>
      </c>
      <c r="C35" s="4" t="s">
        <v>1454</v>
      </c>
      <c r="D35" s="4" t="s">
        <v>1509</v>
      </c>
      <c r="E35" s="4" t="s">
        <v>622</v>
      </c>
    </row>
    <row r="36" customFormat="false" ht="25.5" hidden="false" customHeight="true" outlineLevel="0" collapsed="false">
      <c r="A36" s="5" t="s">
        <v>192</v>
      </c>
      <c r="B36" s="5" t="s">
        <v>1505</v>
      </c>
      <c r="C36" s="5" t="s">
        <v>1455</v>
      </c>
      <c r="D36" s="5" t="s">
        <v>1510</v>
      </c>
      <c r="E36" s="5" t="s">
        <v>622</v>
      </c>
    </row>
    <row r="37" customFormat="false" ht="25.5" hidden="false" customHeight="true" outlineLevel="0" collapsed="false">
      <c r="A37" s="4" t="s">
        <v>192</v>
      </c>
      <c r="B37" s="4" t="s">
        <v>1505</v>
      </c>
      <c r="C37" s="4" t="s">
        <v>1511</v>
      </c>
      <c r="D37" s="4" t="s">
        <v>1512</v>
      </c>
      <c r="E37" s="4" t="s">
        <v>622</v>
      </c>
    </row>
    <row r="38" customFormat="false" ht="25.5" hidden="false" customHeight="true" outlineLevel="0" collapsed="false">
      <c r="A38" s="5" t="s">
        <v>192</v>
      </c>
      <c r="B38" s="5" t="s">
        <v>1505</v>
      </c>
      <c r="C38" s="5" t="s">
        <v>1459</v>
      </c>
      <c r="D38" s="5" t="s">
        <v>1513</v>
      </c>
      <c r="E38" s="5" t="s">
        <v>622</v>
      </c>
    </row>
    <row r="39" customFormat="false" ht="25.5" hidden="false" customHeight="true" outlineLevel="0" collapsed="false">
      <c r="A39" s="4" t="s">
        <v>192</v>
      </c>
      <c r="B39" s="4" t="s">
        <v>1505</v>
      </c>
      <c r="C39" s="4" t="s">
        <v>1461</v>
      </c>
      <c r="D39" s="4" t="s">
        <v>1514</v>
      </c>
      <c r="E39" s="4" t="s">
        <v>622</v>
      </c>
    </row>
    <row r="40" customFormat="false" ht="25.5" hidden="false" customHeight="true" outlineLevel="0" collapsed="false">
      <c r="A40" s="5" t="s">
        <v>192</v>
      </c>
      <c r="B40" s="5" t="s">
        <v>1505</v>
      </c>
      <c r="C40" s="5" t="s">
        <v>1463</v>
      </c>
      <c r="D40" s="5" t="s">
        <v>1515</v>
      </c>
      <c r="E40" s="5" t="s">
        <v>622</v>
      </c>
    </row>
    <row r="41" customFormat="false" ht="25.5" hidden="false" customHeight="true" outlineLevel="0" collapsed="false">
      <c r="A41" s="4" t="s">
        <v>192</v>
      </c>
      <c r="B41" s="4" t="s">
        <v>1505</v>
      </c>
      <c r="C41" s="4" t="s">
        <v>1516</v>
      </c>
      <c r="D41" s="4" t="s">
        <v>1517</v>
      </c>
      <c r="E41" s="4" t="s">
        <v>622</v>
      </c>
    </row>
    <row r="42" customFormat="false" ht="25.5" hidden="false" customHeight="true" outlineLevel="0" collapsed="false">
      <c r="A42" s="5" t="s">
        <v>192</v>
      </c>
      <c r="B42" s="5" t="s">
        <v>1505</v>
      </c>
      <c r="C42" s="5" t="s">
        <v>1473</v>
      </c>
      <c r="D42" s="5" t="s">
        <v>1518</v>
      </c>
      <c r="E42" s="5" t="s">
        <v>622</v>
      </c>
    </row>
    <row r="43" customFormat="false" ht="25.5" hidden="false" customHeight="true" outlineLevel="0" collapsed="false">
      <c r="A43" s="4" t="s">
        <v>192</v>
      </c>
      <c r="B43" s="4" t="s">
        <v>1505</v>
      </c>
      <c r="C43" s="4" t="s">
        <v>1475</v>
      </c>
      <c r="D43" s="4" t="s">
        <v>1519</v>
      </c>
      <c r="E43" s="4" t="s">
        <v>622</v>
      </c>
    </row>
    <row r="44" customFormat="false" ht="25.5" hidden="false" customHeight="true" outlineLevel="0" collapsed="false">
      <c r="A44" s="5" t="s">
        <v>192</v>
      </c>
      <c r="B44" s="5" t="s">
        <v>1505</v>
      </c>
      <c r="C44" s="5" t="s">
        <v>1477</v>
      </c>
      <c r="D44" s="5" t="s">
        <v>1520</v>
      </c>
      <c r="E44" s="5" t="s">
        <v>622</v>
      </c>
    </row>
    <row r="45" customFormat="false" ht="25.5" hidden="false" customHeight="true" outlineLevel="0" collapsed="false">
      <c r="A45" s="4" t="s">
        <v>192</v>
      </c>
      <c r="B45" s="4" t="s">
        <v>1505</v>
      </c>
      <c r="C45" s="4" t="s">
        <v>1479</v>
      </c>
      <c r="D45" s="4" t="s">
        <v>1521</v>
      </c>
      <c r="E45" s="4" t="s">
        <v>622</v>
      </c>
    </row>
    <row r="46" customFormat="false" ht="25.5" hidden="false" customHeight="true" outlineLevel="0" collapsed="false">
      <c r="A46" s="5" t="s">
        <v>192</v>
      </c>
      <c r="B46" s="5" t="s">
        <v>1505</v>
      </c>
      <c r="C46" s="5" t="s">
        <v>1481</v>
      </c>
      <c r="D46" s="5" t="s">
        <v>1522</v>
      </c>
      <c r="E46" s="5" t="s">
        <v>622</v>
      </c>
    </row>
    <row r="47" customFormat="false" ht="25.5" hidden="false" customHeight="true" outlineLevel="0" collapsed="false">
      <c r="A47" s="4" t="s">
        <v>192</v>
      </c>
      <c r="B47" s="4" t="s">
        <v>1505</v>
      </c>
      <c r="C47" s="4" t="s">
        <v>1483</v>
      </c>
      <c r="D47" s="4" t="s">
        <v>1523</v>
      </c>
      <c r="E47" s="4" t="s">
        <v>622</v>
      </c>
    </row>
    <row r="48" customFormat="false" ht="25.5" hidden="false" customHeight="true" outlineLevel="0" collapsed="false">
      <c r="A48" s="5" t="s">
        <v>617</v>
      </c>
      <c r="B48" s="5" t="s">
        <v>1524</v>
      </c>
      <c r="C48" s="5" t="s">
        <v>1525</v>
      </c>
      <c r="D48" s="5" t="s">
        <v>1526</v>
      </c>
      <c r="E48" s="5" t="s">
        <v>622</v>
      </c>
    </row>
    <row r="49" customFormat="false" ht="25.5" hidden="false" customHeight="true" outlineLevel="0" collapsed="false">
      <c r="A49" s="4" t="s">
        <v>617</v>
      </c>
      <c r="B49" s="4" t="s">
        <v>1524</v>
      </c>
      <c r="C49" s="4" t="s">
        <v>1527</v>
      </c>
      <c r="D49" s="4" t="s">
        <v>1528</v>
      </c>
      <c r="E49" s="4" t="s">
        <v>622</v>
      </c>
    </row>
    <row r="50" customFormat="false" ht="25.5" hidden="false" customHeight="true" outlineLevel="0" collapsed="false">
      <c r="A50" s="5" t="s">
        <v>617</v>
      </c>
      <c r="B50" s="5" t="s">
        <v>1524</v>
      </c>
      <c r="C50" s="5" t="s">
        <v>1529</v>
      </c>
      <c r="D50" s="5" t="s">
        <v>1530</v>
      </c>
      <c r="E50" s="5" t="s">
        <v>622</v>
      </c>
    </row>
    <row r="51" customFormat="false" ht="25.5" hidden="false" customHeight="true" outlineLevel="0" collapsed="false">
      <c r="A51" s="4" t="s">
        <v>617</v>
      </c>
      <c r="B51" s="4" t="s">
        <v>1524</v>
      </c>
      <c r="C51" s="4" t="s">
        <v>1531</v>
      </c>
      <c r="D51" s="4" t="s">
        <v>1532</v>
      </c>
      <c r="E51" s="4" t="s">
        <v>622</v>
      </c>
    </row>
    <row r="52" customFormat="false" ht="25.5" hidden="false" customHeight="true" outlineLevel="0" collapsed="false">
      <c r="A52" s="5" t="s">
        <v>617</v>
      </c>
      <c r="B52" s="5" t="s">
        <v>1524</v>
      </c>
      <c r="C52" s="5" t="s">
        <v>1533</v>
      </c>
      <c r="D52" s="5" t="s">
        <v>1534</v>
      </c>
      <c r="E52" s="5" t="s">
        <v>622</v>
      </c>
    </row>
    <row r="53" customFormat="false" ht="25.5" hidden="false" customHeight="true" outlineLevel="0" collapsed="false">
      <c r="A53" s="4" t="s">
        <v>617</v>
      </c>
      <c r="B53" s="4" t="s">
        <v>1524</v>
      </c>
      <c r="C53" s="4" t="s">
        <v>1535</v>
      </c>
      <c r="D53" s="4" t="s">
        <v>1536</v>
      </c>
      <c r="E53" s="4" t="s">
        <v>622</v>
      </c>
    </row>
    <row r="54" customFormat="false" ht="25.5" hidden="false" customHeight="true" outlineLevel="0" collapsed="false">
      <c r="A54" s="5" t="s">
        <v>617</v>
      </c>
      <c r="B54" s="5" t="s">
        <v>1524</v>
      </c>
      <c r="C54" s="5" t="s">
        <v>1537</v>
      </c>
      <c r="D54" s="5" t="s">
        <v>1538</v>
      </c>
      <c r="E54" s="5" t="s">
        <v>622</v>
      </c>
    </row>
    <row r="55" customFormat="false" ht="25.5" hidden="false" customHeight="true" outlineLevel="0" collapsed="false">
      <c r="A55" s="4" t="s">
        <v>617</v>
      </c>
      <c r="B55" s="4" t="s">
        <v>1524</v>
      </c>
      <c r="C55" s="4" t="s">
        <v>1539</v>
      </c>
      <c r="D55" s="4" t="s">
        <v>1540</v>
      </c>
      <c r="E55" s="4" t="s">
        <v>622</v>
      </c>
    </row>
    <row r="56" customFormat="false" ht="25.5" hidden="false" customHeight="true" outlineLevel="0" collapsed="false">
      <c r="A56" s="5" t="s">
        <v>617</v>
      </c>
      <c r="B56" s="5" t="s">
        <v>1524</v>
      </c>
      <c r="C56" s="5" t="s">
        <v>1541</v>
      </c>
      <c r="D56" s="5" t="s">
        <v>1542</v>
      </c>
      <c r="E56" s="5" t="s">
        <v>622</v>
      </c>
    </row>
    <row r="57" customFormat="false" ht="25.5" hidden="false" customHeight="true" outlineLevel="0" collapsed="false">
      <c r="A57" s="4" t="s">
        <v>617</v>
      </c>
      <c r="B57" s="4" t="s">
        <v>1524</v>
      </c>
      <c r="C57" s="4" t="s">
        <v>1543</v>
      </c>
      <c r="D57" s="4" t="s">
        <v>1544</v>
      </c>
      <c r="E57" s="4" t="s">
        <v>622</v>
      </c>
    </row>
    <row r="58" customFormat="false" ht="25.5" hidden="false" customHeight="true" outlineLevel="0" collapsed="false">
      <c r="A58" s="5" t="s">
        <v>219</v>
      </c>
      <c r="B58" s="5" t="s">
        <v>1545</v>
      </c>
      <c r="C58" s="5" t="s">
        <v>1546</v>
      </c>
      <c r="D58" s="5" t="s">
        <v>1547</v>
      </c>
      <c r="E58" s="5" t="s">
        <v>622</v>
      </c>
    </row>
    <row r="59" customFormat="false" ht="25.5" hidden="false" customHeight="true" outlineLevel="0" collapsed="false">
      <c r="A59" s="4" t="s">
        <v>219</v>
      </c>
      <c r="B59" s="4" t="s">
        <v>1545</v>
      </c>
      <c r="C59" s="4" t="s">
        <v>1548</v>
      </c>
      <c r="D59" s="4" t="s">
        <v>1549</v>
      </c>
      <c r="E59" s="4" t="s">
        <v>622</v>
      </c>
    </row>
    <row r="60" customFormat="false" ht="25.5" hidden="false" customHeight="true" outlineLevel="0" collapsed="false">
      <c r="A60" s="5" t="s">
        <v>219</v>
      </c>
      <c r="B60" s="5" t="s">
        <v>1545</v>
      </c>
      <c r="C60" s="5" t="s">
        <v>1550</v>
      </c>
      <c r="D60" s="5" t="s">
        <v>1551</v>
      </c>
      <c r="E60" s="5" t="s">
        <v>622</v>
      </c>
    </row>
    <row r="61" customFormat="false" ht="25.5" hidden="false" customHeight="true" outlineLevel="0" collapsed="false">
      <c r="A61" s="4" t="s">
        <v>219</v>
      </c>
      <c r="B61" s="4" t="s">
        <v>1545</v>
      </c>
      <c r="C61" s="4" t="s">
        <v>1552</v>
      </c>
      <c r="D61" s="4" t="s">
        <v>1553</v>
      </c>
      <c r="E61" s="4" t="s">
        <v>622</v>
      </c>
    </row>
    <row r="62" customFormat="false" ht="25.5" hidden="false" customHeight="true" outlineLevel="0" collapsed="false">
      <c r="A62" s="5" t="s">
        <v>219</v>
      </c>
      <c r="B62" s="5" t="s">
        <v>1545</v>
      </c>
      <c r="C62" s="5" t="s">
        <v>1554</v>
      </c>
      <c r="D62" s="5" t="s">
        <v>1555</v>
      </c>
      <c r="E62" s="5" t="s">
        <v>622</v>
      </c>
    </row>
    <row r="63" customFormat="false" ht="25.5" hidden="false" customHeight="true" outlineLevel="0" collapsed="false">
      <c r="A63" s="4" t="s">
        <v>219</v>
      </c>
      <c r="B63" s="4" t="s">
        <v>1545</v>
      </c>
      <c r="C63" s="4" t="s">
        <v>1556</v>
      </c>
      <c r="D63" s="4" t="s">
        <v>1557</v>
      </c>
      <c r="E63" s="4" t="s">
        <v>622</v>
      </c>
    </row>
    <row r="64" customFormat="false" ht="25.5" hidden="false" customHeight="true" outlineLevel="0" collapsed="false">
      <c r="A64" s="5" t="s">
        <v>219</v>
      </c>
      <c r="B64" s="5" t="s">
        <v>1545</v>
      </c>
      <c r="C64" s="5" t="s">
        <v>1558</v>
      </c>
      <c r="D64" s="5" t="s">
        <v>1559</v>
      </c>
      <c r="E64" s="5" t="s">
        <v>622</v>
      </c>
    </row>
    <row r="65" customFormat="false" ht="25.5" hidden="false" customHeight="true" outlineLevel="0" collapsed="false">
      <c r="A65" s="4" t="s">
        <v>219</v>
      </c>
      <c r="B65" s="4" t="s">
        <v>1545</v>
      </c>
      <c r="C65" s="4" t="s">
        <v>1560</v>
      </c>
      <c r="D65" s="4" t="s">
        <v>1561</v>
      </c>
      <c r="E65" s="4" t="s">
        <v>622</v>
      </c>
    </row>
    <row r="66" customFormat="false" ht="25.5" hidden="false" customHeight="true" outlineLevel="0" collapsed="false">
      <c r="A66" s="5" t="s">
        <v>219</v>
      </c>
      <c r="B66" s="5" t="s">
        <v>1545</v>
      </c>
      <c r="C66" s="5" t="s">
        <v>1562</v>
      </c>
      <c r="D66" s="5" t="s">
        <v>1563</v>
      </c>
      <c r="E66" s="5" t="s">
        <v>622</v>
      </c>
    </row>
    <row r="67" customFormat="false" ht="25.5" hidden="false" customHeight="true" outlineLevel="0" collapsed="false">
      <c r="A67" s="4" t="s">
        <v>219</v>
      </c>
      <c r="B67" s="4" t="s">
        <v>1545</v>
      </c>
      <c r="C67" s="4" t="s">
        <v>1564</v>
      </c>
      <c r="D67" s="4" t="s">
        <v>1565</v>
      </c>
      <c r="E67" s="4" t="s">
        <v>622</v>
      </c>
    </row>
    <row r="68" customFormat="false" ht="25.5" hidden="false" customHeight="true" outlineLevel="0" collapsed="false">
      <c r="A68" s="5" t="s">
        <v>219</v>
      </c>
      <c r="B68" s="5" t="s">
        <v>1545</v>
      </c>
      <c r="C68" s="5" t="s">
        <v>1566</v>
      </c>
      <c r="D68" s="5" t="s">
        <v>1567</v>
      </c>
      <c r="E68" s="5" t="s">
        <v>622</v>
      </c>
    </row>
    <row r="69" customFormat="false" ht="25.5" hidden="false" customHeight="true" outlineLevel="0" collapsed="false">
      <c r="A69" s="4" t="s">
        <v>219</v>
      </c>
      <c r="B69" s="4" t="s">
        <v>1545</v>
      </c>
      <c r="C69" s="4" t="s">
        <v>1568</v>
      </c>
      <c r="D69" s="4" t="s">
        <v>1569</v>
      </c>
      <c r="E69" s="4" t="s">
        <v>622</v>
      </c>
    </row>
    <row r="70" customFormat="false" ht="25.5" hidden="false" customHeight="true" outlineLevel="0" collapsed="false">
      <c r="A70" s="5" t="s">
        <v>691</v>
      </c>
      <c r="B70" s="5" t="s">
        <v>1570</v>
      </c>
      <c r="C70" s="5" t="s">
        <v>1571</v>
      </c>
      <c r="D70" s="5" t="s">
        <v>1572</v>
      </c>
      <c r="E70" s="5" t="s">
        <v>622</v>
      </c>
    </row>
    <row r="71" customFormat="false" ht="25.5" hidden="false" customHeight="true" outlineLevel="0" collapsed="false">
      <c r="A71" s="4" t="s">
        <v>691</v>
      </c>
      <c r="B71" s="4" t="s">
        <v>1570</v>
      </c>
      <c r="C71" s="4" t="s">
        <v>1573</v>
      </c>
      <c r="D71" s="4" t="s">
        <v>1574</v>
      </c>
      <c r="E71" s="4" t="s">
        <v>622</v>
      </c>
    </row>
    <row r="72" customFormat="false" ht="25.5" hidden="false" customHeight="true" outlineLevel="0" collapsed="false">
      <c r="A72" s="5" t="s">
        <v>691</v>
      </c>
      <c r="B72" s="5" t="s">
        <v>1570</v>
      </c>
      <c r="C72" s="5" t="s">
        <v>1575</v>
      </c>
      <c r="D72" s="5" t="s">
        <v>1576</v>
      </c>
      <c r="E72" s="5" t="s">
        <v>622</v>
      </c>
    </row>
    <row r="73" customFormat="false" ht="25.5" hidden="false" customHeight="true" outlineLevel="0" collapsed="false">
      <c r="A73" s="4" t="s">
        <v>691</v>
      </c>
      <c r="B73" s="4" t="s">
        <v>1570</v>
      </c>
      <c r="C73" s="4" t="s">
        <v>1577</v>
      </c>
      <c r="D73" s="4" t="s">
        <v>1578</v>
      </c>
      <c r="E73" s="4" t="s">
        <v>622</v>
      </c>
    </row>
    <row r="74" customFormat="false" ht="25.5" hidden="false" customHeight="true" outlineLevel="0" collapsed="false">
      <c r="A74" s="5" t="s">
        <v>691</v>
      </c>
      <c r="B74" s="5" t="s">
        <v>1570</v>
      </c>
      <c r="C74" s="5" t="s">
        <v>1579</v>
      </c>
      <c r="D74" s="5" t="s">
        <v>1580</v>
      </c>
      <c r="E74" s="5" t="s">
        <v>622</v>
      </c>
    </row>
    <row r="75" customFormat="false" ht="25.5" hidden="false" customHeight="true" outlineLevel="0" collapsed="false">
      <c r="A75" s="4" t="s">
        <v>691</v>
      </c>
      <c r="B75" s="4" t="s">
        <v>1570</v>
      </c>
      <c r="C75" s="4" t="s">
        <v>1581</v>
      </c>
      <c r="D75" s="4" t="s">
        <v>1468</v>
      </c>
      <c r="E75" s="4" t="s">
        <v>622</v>
      </c>
    </row>
    <row r="76" customFormat="false" ht="25.5" hidden="false" customHeight="true" outlineLevel="0" collapsed="false">
      <c r="A76" s="5" t="s">
        <v>248</v>
      </c>
      <c r="B76" s="5" t="s">
        <v>1582</v>
      </c>
      <c r="C76" s="5" t="s">
        <v>1450</v>
      </c>
      <c r="D76" s="5" t="s">
        <v>1458</v>
      </c>
      <c r="E76" s="5" t="s">
        <v>622</v>
      </c>
    </row>
    <row r="77" customFormat="false" ht="25.5" hidden="false" customHeight="true" outlineLevel="0" collapsed="false">
      <c r="A77" s="4" t="s">
        <v>248</v>
      </c>
      <c r="B77" s="4" t="s">
        <v>1582</v>
      </c>
      <c r="C77" s="4" t="s">
        <v>1457</v>
      </c>
      <c r="D77" s="4" t="s">
        <v>1583</v>
      </c>
      <c r="E77" s="4" t="s">
        <v>622</v>
      </c>
    </row>
    <row r="78" customFormat="false" ht="25.5" hidden="false" customHeight="true" outlineLevel="0" collapsed="false">
      <c r="A78" s="5" t="s">
        <v>248</v>
      </c>
      <c r="B78" s="5" t="s">
        <v>1582</v>
      </c>
      <c r="C78" s="5" t="s">
        <v>1471</v>
      </c>
      <c r="D78" s="5" t="s">
        <v>1584</v>
      </c>
      <c r="E78" s="5" t="s">
        <v>622</v>
      </c>
    </row>
    <row r="79" customFormat="false" ht="25.5" hidden="false" customHeight="true" outlineLevel="0" collapsed="false">
      <c r="A79" s="4" t="s">
        <v>248</v>
      </c>
      <c r="B79" s="4" t="s">
        <v>1582</v>
      </c>
      <c r="C79" s="4" t="s">
        <v>1485</v>
      </c>
      <c r="D79" s="4" t="s">
        <v>1585</v>
      </c>
      <c r="E79" s="4" t="s">
        <v>622</v>
      </c>
    </row>
    <row r="80" customFormat="false" ht="25.5" hidden="false" customHeight="true" outlineLevel="0" collapsed="false">
      <c r="A80" s="5" t="s">
        <v>248</v>
      </c>
      <c r="B80" s="5" t="s">
        <v>1582</v>
      </c>
      <c r="C80" s="5" t="s">
        <v>1497</v>
      </c>
      <c r="D80" s="5" t="s">
        <v>1586</v>
      </c>
      <c r="E80" s="5" t="s">
        <v>622</v>
      </c>
    </row>
    <row r="81" customFormat="false" ht="25.5" hidden="false" customHeight="true" outlineLevel="0" collapsed="false">
      <c r="A81" s="4" t="s">
        <v>248</v>
      </c>
      <c r="B81" s="4" t="s">
        <v>1582</v>
      </c>
      <c r="C81" s="4" t="s">
        <v>1587</v>
      </c>
      <c r="D81" s="4" t="s">
        <v>1588</v>
      </c>
      <c r="E81" s="4" t="s">
        <v>622</v>
      </c>
    </row>
    <row r="82" customFormat="false" ht="25.5" hidden="false" customHeight="true" outlineLevel="0" collapsed="false">
      <c r="A82" s="5" t="s">
        <v>248</v>
      </c>
      <c r="B82" s="5" t="s">
        <v>1582</v>
      </c>
      <c r="C82" s="5" t="s">
        <v>1589</v>
      </c>
      <c r="D82" s="5" t="s">
        <v>1590</v>
      </c>
      <c r="E82" s="5" t="s">
        <v>622</v>
      </c>
    </row>
    <row r="83" customFormat="false" ht="25.5" hidden="false" customHeight="true" outlineLevel="0" collapsed="false">
      <c r="A83" s="4" t="s">
        <v>248</v>
      </c>
      <c r="B83" s="4" t="s">
        <v>1582</v>
      </c>
      <c r="C83" s="4" t="s">
        <v>1591</v>
      </c>
      <c r="D83" s="4" t="s">
        <v>1592</v>
      </c>
      <c r="E83" s="4" t="s">
        <v>622</v>
      </c>
    </row>
    <row r="84" customFormat="false" ht="25.5" hidden="false" customHeight="true" outlineLevel="0" collapsed="false">
      <c r="A84" s="5" t="s">
        <v>248</v>
      </c>
      <c r="B84" s="5" t="s">
        <v>1582</v>
      </c>
      <c r="C84" s="5" t="s">
        <v>1593</v>
      </c>
      <c r="D84" s="5" t="s">
        <v>1594</v>
      </c>
      <c r="E84" s="5" t="s">
        <v>622</v>
      </c>
    </row>
    <row r="85" customFormat="false" ht="25.5" hidden="false" customHeight="true" outlineLevel="0" collapsed="false">
      <c r="A85" s="4" t="s">
        <v>248</v>
      </c>
      <c r="B85" s="4" t="s">
        <v>1582</v>
      </c>
      <c r="C85" s="4" t="s">
        <v>1595</v>
      </c>
      <c r="D85" s="4" t="s">
        <v>1596</v>
      </c>
      <c r="E85" s="4" t="s">
        <v>622</v>
      </c>
    </row>
    <row r="86" customFormat="false" ht="25.5" hidden="false" customHeight="true" outlineLevel="0" collapsed="false">
      <c r="A86" s="5" t="s">
        <v>248</v>
      </c>
      <c r="B86" s="5" t="s">
        <v>1582</v>
      </c>
      <c r="C86" s="5" t="s">
        <v>1597</v>
      </c>
      <c r="D86" s="5" t="s">
        <v>1598</v>
      </c>
      <c r="E86" s="5" t="s">
        <v>622</v>
      </c>
    </row>
    <row r="87" customFormat="false" ht="25.5" hidden="false" customHeight="true" outlineLevel="0" collapsed="false">
      <c r="A87" s="4" t="s">
        <v>248</v>
      </c>
      <c r="B87" s="4" t="s">
        <v>1582</v>
      </c>
      <c r="C87" s="4" t="s">
        <v>1599</v>
      </c>
      <c r="D87" s="4" t="s">
        <v>1600</v>
      </c>
      <c r="E87" s="4" t="s">
        <v>622</v>
      </c>
    </row>
    <row r="88" customFormat="false" ht="25.5" hidden="false" customHeight="true" outlineLevel="0" collapsed="false">
      <c r="A88" s="5" t="s">
        <v>248</v>
      </c>
      <c r="B88" s="5" t="s">
        <v>1582</v>
      </c>
      <c r="C88" s="5" t="s">
        <v>1601</v>
      </c>
      <c r="D88" s="5" t="s">
        <v>1602</v>
      </c>
      <c r="E88" s="5" t="s">
        <v>622</v>
      </c>
    </row>
    <row r="89" customFormat="false" ht="25.5" hidden="false" customHeight="true" outlineLevel="0" collapsed="false">
      <c r="A89" s="4" t="s">
        <v>248</v>
      </c>
      <c r="B89" s="4" t="s">
        <v>1582</v>
      </c>
      <c r="C89" s="4" t="s">
        <v>1603</v>
      </c>
      <c r="D89" s="4" t="s">
        <v>1604</v>
      </c>
      <c r="E89" s="4" t="s">
        <v>622</v>
      </c>
    </row>
    <row r="90" customFormat="false" ht="25.5" hidden="false" customHeight="true" outlineLevel="0" collapsed="false">
      <c r="A90" s="5" t="s">
        <v>248</v>
      </c>
      <c r="B90" s="5" t="s">
        <v>1605</v>
      </c>
      <c r="C90" s="5" t="s">
        <v>1450</v>
      </c>
      <c r="D90" s="5" t="s">
        <v>1606</v>
      </c>
      <c r="E90" s="5" t="s">
        <v>622</v>
      </c>
    </row>
    <row r="91" customFormat="false" ht="25.5" hidden="false" customHeight="true" outlineLevel="0" collapsed="false">
      <c r="A91" s="4" t="s">
        <v>248</v>
      </c>
      <c r="B91" s="4" t="s">
        <v>1605</v>
      </c>
      <c r="C91" s="4" t="s">
        <v>1457</v>
      </c>
      <c r="D91" s="4" t="s">
        <v>1607</v>
      </c>
      <c r="E91" s="4" t="s">
        <v>622</v>
      </c>
    </row>
    <row r="92" customFormat="false" ht="25.5" hidden="false" customHeight="true" outlineLevel="0" collapsed="false">
      <c r="A92" s="5" t="s">
        <v>248</v>
      </c>
      <c r="B92" s="5" t="s">
        <v>1605</v>
      </c>
      <c r="C92" s="5" t="s">
        <v>1471</v>
      </c>
      <c r="D92" s="5" t="s">
        <v>1608</v>
      </c>
      <c r="E92" s="5" t="s">
        <v>622</v>
      </c>
    </row>
    <row r="93" customFormat="false" ht="25.5" hidden="false" customHeight="true" outlineLevel="0" collapsed="false">
      <c r="A93" s="4" t="s">
        <v>248</v>
      </c>
      <c r="B93" s="4" t="s">
        <v>1605</v>
      </c>
      <c r="C93" s="4" t="s">
        <v>1485</v>
      </c>
      <c r="D93" s="4" t="s">
        <v>1609</v>
      </c>
      <c r="E93" s="4" t="s">
        <v>622</v>
      </c>
    </row>
    <row r="94" customFormat="false" ht="25.5" hidden="false" customHeight="true" outlineLevel="0" collapsed="false">
      <c r="A94" s="5" t="s">
        <v>248</v>
      </c>
      <c r="B94" s="5" t="s">
        <v>1605</v>
      </c>
      <c r="C94" s="5" t="s">
        <v>1497</v>
      </c>
      <c r="D94" s="5" t="s">
        <v>1610</v>
      </c>
      <c r="E94" s="5" t="s">
        <v>622</v>
      </c>
    </row>
    <row r="95" customFormat="false" ht="25.5" hidden="false" customHeight="true" outlineLevel="0" collapsed="false">
      <c r="A95" s="4" t="s">
        <v>248</v>
      </c>
      <c r="B95" s="4" t="s">
        <v>1605</v>
      </c>
      <c r="C95" s="4" t="s">
        <v>1587</v>
      </c>
      <c r="D95" s="4" t="s">
        <v>1611</v>
      </c>
      <c r="E95" s="4" t="s">
        <v>622</v>
      </c>
    </row>
    <row r="96" customFormat="false" ht="25.5" hidden="false" customHeight="true" outlineLevel="0" collapsed="false">
      <c r="A96" s="5" t="s">
        <v>248</v>
      </c>
      <c r="B96" s="5" t="s">
        <v>1605</v>
      </c>
      <c r="C96" s="5" t="s">
        <v>1589</v>
      </c>
      <c r="D96" s="5" t="s">
        <v>1612</v>
      </c>
      <c r="E96" s="5" t="s">
        <v>622</v>
      </c>
    </row>
    <row r="97" customFormat="false" ht="25.5" hidden="false" customHeight="true" outlineLevel="0" collapsed="false">
      <c r="A97" s="4" t="s">
        <v>248</v>
      </c>
      <c r="B97" s="4" t="s">
        <v>1605</v>
      </c>
      <c r="C97" s="4" t="s">
        <v>1591</v>
      </c>
      <c r="D97" s="4" t="s">
        <v>1613</v>
      </c>
      <c r="E97" s="4" t="s">
        <v>622</v>
      </c>
    </row>
    <row r="98" customFormat="false" ht="25.5" hidden="false" customHeight="true" outlineLevel="0" collapsed="false">
      <c r="A98" s="5" t="s">
        <v>248</v>
      </c>
      <c r="B98" s="5" t="s">
        <v>1605</v>
      </c>
      <c r="C98" s="5" t="s">
        <v>1593</v>
      </c>
      <c r="D98" s="5" t="s">
        <v>1614</v>
      </c>
      <c r="E98" s="5" t="s">
        <v>622</v>
      </c>
    </row>
    <row r="99" customFormat="false" ht="25.5" hidden="false" customHeight="true" outlineLevel="0" collapsed="false">
      <c r="A99" s="4" t="s">
        <v>248</v>
      </c>
      <c r="B99" s="4" t="s">
        <v>1605</v>
      </c>
      <c r="C99" s="4" t="s">
        <v>1595</v>
      </c>
      <c r="D99" s="4" t="s">
        <v>1615</v>
      </c>
      <c r="E99" s="4" t="s">
        <v>622</v>
      </c>
    </row>
    <row r="100" customFormat="false" ht="25.5" hidden="false" customHeight="true" outlineLevel="0" collapsed="false">
      <c r="A100" s="5" t="s">
        <v>248</v>
      </c>
      <c r="B100" s="5" t="s">
        <v>1605</v>
      </c>
      <c r="C100" s="5" t="s">
        <v>1597</v>
      </c>
      <c r="D100" s="5" t="s">
        <v>1616</v>
      </c>
      <c r="E100" s="5" t="s">
        <v>622</v>
      </c>
    </row>
    <row r="101" customFormat="false" ht="25.5" hidden="false" customHeight="true" outlineLevel="0" collapsed="false">
      <c r="A101" s="4" t="s">
        <v>248</v>
      </c>
      <c r="B101" s="4" t="s">
        <v>1617</v>
      </c>
      <c r="C101" s="4" t="s">
        <v>1450</v>
      </c>
      <c r="D101" s="4" t="s">
        <v>1618</v>
      </c>
      <c r="E101" s="4" t="s">
        <v>622</v>
      </c>
    </row>
    <row r="102" customFormat="false" ht="25.5" hidden="false" customHeight="true" outlineLevel="0" collapsed="false">
      <c r="A102" s="5" t="s">
        <v>248</v>
      </c>
      <c r="B102" s="5" t="s">
        <v>1617</v>
      </c>
      <c r="C102" s="5" t="s">
        <v>1457</v>
      </c>
      <c r="D102" s="5" t="s">
        <v>1619</v>
      </c>
      <c r="E102" s="5" t="s">
        <v>622</v>
      </c>
    </row>
    <row r="103" customFormat="false" ht="25.5" hidden="false" customHeight="true" outlineLevel="0" collapsed="false">
      <c r="A103" s="4" t="s">
        <v>248</v>
      </c>
      <c r="B103" s="4" t="s">
        <v>1617</v>
      </c>
      <c r="C103" s="4" t="s">
        <v>1471</v>
      </c>
      <c r="D103" s="4" t="s">
        <v>1620</v>
      </c>
      <c r="E103" s="4" t="s">
        <v>622</v>
      </c>
    </row>
    <row r="104" customFormat="false" ht="25.5" hidden="false" customHeight="true" outlineLevel="0" collapsed="false">
      <c r="A104" s="5" t="s">
        <v>248</v>
      </c>
      <c r="B104" s="5" t="s">
        <v>1617</v>
      </c>
      <c r="C104" s="5" t="s">
        <v>1485</v>
      </c>
      <c r="D104" s="5" t="s">
        <v>1621</v>
      </c>
      <c r="E104" s="5" t="s">
        <v>622</v>
      </c>
    </row>
    <row r="105" customFormat="false" ht="25.5" hidden="false" customHeight="true" outlineLevel="0" collapsed="false">
      <c r="A105" s="4" t="s">
        <v>248</v>
      </c>
      <c r="B105" s="4" t="s">
        <v>1617</v>
      </c>
      <c r="C105" s="4" t="s">
        <v>1497</v>
      </c>
      <c r="D105" s="4" t="s">
        <v>1622</v>
      </c>
      <c r="E105" s="4" t="s">
        <v>622</v>
      </c>
    </row>
    <row r="106" customFormat="false" ht="25.5" hidden="false" customHeight="true" outlineLevel="0" collapsed="false">
      <c r="A106" s="5" t="s">
        <v>248</v>
      </c>
      <c r="B106" s="5" t="s">
        <v>1617</v>
      </c>
      <c r="C106" s="5" t="s">
        <v>1587</v>
      </c>
      <c r="D106" s="5" t="s">
        <v>1623</v>
      </c>
      <c r="E106" s="5" t="s">
        <v>622</v>
      </c>
    </row>
    <row r="107" customFormat="false" ht="25.5" hidden="false" customHeight="true" outlineLevel="0" collapsed="false">
      <c r="A107" s="4" t="s">
        <v>248</v>
      </c>
      <c r="B107" s="4" t="s">
        <v>1617</v>
      </c>
      <c r="C107" s="4" t="s">
        <v>1589</v>
      </c>
      <c r="D107" s="4" t="s">
        <v>1624</v>
      </c>
      <c r="E107" s="4" t="s">
        <v>622</v>
      </c>
    </row>
    <row r="108" customFormat="false" ht="25.5" hidden="false" customHeight="true" outlineLevel="0" collapsed="false">
      <c r="A108" s="5" t="s">
        <v>248</v>
      </c>
      <c r="B108" s="5" t="s">
        <v>1617</v>
      </c>
      <c r="C108" s="5" t="s">
        <v>1591</v>
      </c>
      <c r="D108" s="5" t="s">
        <v>1625</v>
      </c>
      <c r="E108" s="5" t="s">
        <v>622</v>
      </c>
    </row>
    <row r="109" customFormat="false" ht="25.5" hidden="false" customHeight="true" outlineLevel="0" collapsed="false">
      <c r="A109" s="4" t="s">
        <v>248</v>
      </c>
      <c r="B109" s="4" t="s">
        <v>1617</v>
      </c>
      <c r="C109" s="4" t="s">
        <v>1593</v>
      </c>
      <c r="D109" s="4" t="s">
        <v>1626</v>
      </c>
      <c r="E109" s="4" t="s">
        <v>622</v>
      </c>
    </row>
    <row r="110" customFormat="false" ht="25.5" hidden="false" customHeight="true" outlineLevel="0" collapsed="false">
      <c r="A110" s="5" t="s">
        <v>248</v>
      </c>
      <c r="B110" s="5" t="s">
        <v>1627</v>
      </c>
      <c r="C110" s="5" t="s">
        <v>1628</v>
      </c>
      <c r="D110" s="5" t="s">
        <v>1629</v>
      </c>
      <c r="E110" s="5" t="s">
        <v>622</v>
      </c>
    </row>
    <row r="111" customFormat="false" ht="25.5" hidden="false" customHeight="true" outlineLevel="0" collapsed="false">
      <c r="A111" s="4" t="s">
        <v>248</v>
      </c>
      <c r="B111" s="4" t="s">
        <v>1627</v>
      </c>
      <c r="C111" s="4" t="s">
        <v>1471</v>
      </c>
      <c r="D111" s="4" t="s">
        <v>1630</v>
      </c>
      <c r="E111" s="4" t="s">
        <v>622</v>
      </c>
    </row>
    <row r="112" customFormat="false" ht="25.5" hidden="false" customHeight="true" outlineLevel="0" collapsed="false">
      <c r="A112" s="5" t="s">
        <v>248</v>
      </c>
      <c r="B112" s="5" t="s">
        <v>1627</v>
      </c>
      <c r="C112" s="5" t="s">
        <v>1485</v>
      </c>
      <c r="D112" s="5" t="s">
        <v>1631</v>
      </c>
      <c r="E112" s="5" t="s">
        <v>622</v>
      </c>
    </row>
    <row r="113" customFormat="false" ht="25.5" hidden="false" customHeight="true" outlineLevel="0" collapsed="false">
      <c r="A113" s="4" t="s">
        <v>248</v>
      </c>
      <c r="B113" s="4" t="s">
        <v>1627</v>
      </c>
      <c r="C113" s="4" t="s">
        <v>1497</v>
      </c>
      <c r="D113" s="4" t="s">
        <v>1632</v>
      </c>
      <c r="E113" s="4" t="s">
        <v>622</v>
      </c>
    </row>
    <row r="114" customFormat="false" ht="25.5" hidden="false" customHeight="true" outlineLevel="0" collapsed="false">
      <c r="A114" s="5" t="s">
        <v>248</v>
      </c>
      <c r="B114" s="5" t="s">
        <v>1627</v>
      </c>
      <c r="C114" s="5" t="s">
        <v>1587</v>
      </c>
      <c r="D114" s="5" t="s">
        <v>1633</v>
      </c>
      <c r="E114" s="5" t="s">
        <v>622</v>
      </c>
    </row>
    <row r="115" customFormat="false" ht="25.5" hidden="false" customHeight="true" outlineLevel="0" collapsed="false">
      <c r="A115" s="4" t="s">
        <v>248</v>
      </c>
      <c r="B115" s="4" t="s">
        <v>1627</v>
      </c>
      <c r="C115" s="4" t="s">
        <v>1589</v>
      </c>
      <c r="D115" s="4" t="s">
        <v>1634</v>
      </c>
      <c r="E115" s="4" t="s">
        <v>622</v>
      </c>
    </row>
    <row r="116" customFormat="false" ht="25.5" hidden="false" customHeight="true" outlineLevel="0" collapsed="false">
      <c r="A116" s="5" t="s">
        <v>248</v>
      </c>
      <c r="B116" s="5" t="s">
        <v>1627</v>
      </c>
      <c r="C116" s="5" t="s">
        <v>1591</v>
      </c>
      <c r="D116" s="5" t="s">
        <v>1635</v>
      </c>
      <c r="E116" s="5" t="s">
        <v>622</v>
      </c>
    </row>
    <row r="117" customFormat="false" ht="25.5" hidden="false" customHeight="true" outlineLevel="0" collapsed="false">
      <c r="A117" s="4" t="s">
        <v>248</v>
      </c>
      <c r="B117" s="4" t="s">
        <v>1627</v>
      </c>
      <c r="C117" s="4" t="s">
        <v>1593</v>
      </c>
      <c r="D117" s="4" t="s">
        <v>1636</v>
      </c>
      <c r="E117" s="4" t="s">
        <v>622</v>
      </c>
    </row>
    <row r="118" customFormat="false" ht="25.5" hidden="false" customHeight="true" outlineLevel="0" collapsed="false">
      <c r="A118" s="5" t="s">
        <v>248</v>
      </c>
      <c r="B118" s="5" t="s">
        <v>1627</v>
      </c>
      <c r="C118" s="5" t="s">
        <v>1637</v>
      </c>
      <c r="D118" s="5" t="s">
        <v>1638</v>
      </c>
      <c r="E118" s="5" t="s">
        <v>622</v>
      </c>
    </row>
    <row r="119" customFormat="false" ht="25.5" hidden="false" customHeight="true" outlineLevel="0" collapsed="false">
      <c r="A119" s="4" t="s">
        <v>367</v>
      </c>
      <c r="B119" s="4" t="s">
        <v>1639</v>
      </c>
      <c r="C119" s="4" t="s">
        <v>1640</v>
      </c>
      <c r="D119" s="4" t="s">
        <v>1641</v>
      </c>
      <c r="E119" s="4" t="s">
        <v>622</v>
      </c>
    </row>
    <row r="120" customFormat="false" ht="25.5" hidden="false" customHeight="true" outlineLevel="0" collapsed="false">
      <c r="A120" s="5" t="s">
        <v>367</v>
      </c>
      <c r="B120" s="5" t="s">
        <v>1639</v>
      </c>
      <c r="C120" s="5" t="s">
        <v>1642</v>
      </c>
      <c r="D120" s="5" t="s">
        <v>1643</v>
      </c>
      <c r="E120" s="5" t="s">
        <v>622</v>
      </c>
    </row>
    <row r="121" customFormat="false" ht="25.5" hidden="false" customHeight="true" outlineLevel="0" collapsed="false">
      <c r="A121" s="4" t="s">
        <v>367</v>
      </c>
      <c r="B121" s="4" t="s">
        <v>1639</v>
      </c>
      <c r="C121" s="4" t="s">
        <v>1644</v>
      </c>
      <c r="D121" s="4" t="s">
        <v>1645</v>
      </c>
      <c r="E121" s="4" t="s">
        <v>622</v>
      </c>
    </row>
    <row r="122" customFormat="false" ht="25.5" hidden="false" customHeight="true" outlineLevel="0" collapsed="false">
      <c r="A122" s="5" t="s">
        <v>367</v>
      </c>
      <c r="B122" s="5" t="s">
        <v>1646</v>
      </c>
      <c r="C122" s="5" t="s">
        <v>1647</v>
      </c>
      <c r="D122" s="5" t="s">
        <v>1648</v>
      </c>
      <c r="E122" s="5" t="s">
        <v>622</v>
      </c>
    </row>
    <row r="123" customFormat="false" ht="25.5" hidden="false" customHeight="true" outlineLevel="0" collapsed="false">
      <c r="A123" s="4" t="s">
        <v>367</v>
      </c>
      <c r="B123" s="4" t="s">
        <v>1646</v>
      </c>
      <c r="C123" s="4" t="s">
        <v>1649</v>
      </c>
      <c r="D123" s="4" t="s">
        <v>1650</v>
      </c>
      <c r="E123" s="4" t="s">
        <v>622</v>
      </c>
    </row>
    <row r="124" customFormat="false" ht="25.5" hidden="false" customHeight="true" outlineLevel="0" collapsed="false">
      <c r="A124" s="5" t="s">
        <v>367</v>
      </c>
      <c r="B124" s="5" t="s">
        <v>1646</v>
      </c>
      <c r="C124" s="5" t="s">
        <v>1651</v>
      </c>
      <c r="D124" s="5" t="s">
        <v>1652</v>
      </c>
      <c r="E124" s="5" t="s">
        <v>622</v>
      </c>
    </row>
    <row r="125" customFormat="false" ht="25.5" hidden="false" customHeight="true" outlineLevel="0" collapsed="false">
      <c r="A125" s="4" t="s">
        <v>367</v>
      </c>
      <c r="B125" s="4" t="s">
        <v>1646</v>
      </c>
      <c r="C125" s="4" t="s">
        <v>1653</v>
      </c>
      <c r="D125" s="4" t="s">
        <v>1654</v>
      </c>
      <c r="E125" s="4" t="s">
        <v>622</v>
      </c>
    </row>
    <row r="126" customFormat="false" ht="25.5" hidden="false" customHeight="true" outlineLevel="0" collapsed="false">
      <c r="A126" s="5" t="s">
        <v>367</v>
      </c>
      <c r="B126" s="5" t="s">
        <v>1646</v>
      </c>
      <c r="C126" s="5" t="s">
        <v>1655</v>
      </c>
      <c r="D126" s="5" t="s">
        <v>1656</v>
      </c>
      <c r="E126" s="5" t="s">
        <v>622</v>
      </c>
    </row>
    <row r="127" customFormat="false" ht="25.5" hidden="false" customHeight="true" outlineLevel="0" collapsed="false">
      <c r="A127" s="4" t="s">
        <v>367</v>
      </c>
      <c r="B127" s="4" t="s">
        <v>1646</v>
      </c>
      <c r="C127" s="4" t="s">
        <v>1657</v>
      </c>
      <c r="D127" s="4" t="s">
        <v>1658</v>
      </c>
      <c r="E127" s="4" t="s">
        <v>622</v>
      </c>
    </row>
    <row r="128" customFormat="false" ht="25.5" hidden="false" customHeight="true" outlineLevel="0" collapsed="false">
      <c r="A128" s="5" t="s">
        <v>367</v>
      </c>
      <c r="B128" s="5" t="s">
        <v>1646</v>
      </c>
      <c r="C128" s="5" t="s">
        <v>1659</v>
      </c>
      <c r="D128" s="5" t="s">
        <v>1660</v>
      </c>
      <c r="E128" s="5" t="s">
        <v>622</v>
      </c>
    </row>
    <row r="129" customFormat="false" ht="25.5" hidden="false" customHeight="true" outlineLevel="0" collapsed="false">
      <c r="A129" s="4" t="s">
        <v>367</v>
      </c>
      <c r="B129" s="4" t="s">
        <v>1646</v>
      </c>
      <c r="C129" s="4" t="s">
        <v>1661</v>
      </c>
      <c r="D129" s="4" t="s">
        <v>1662</v>
      </c>
      <c r="E129" s="4" t="s">
        <v>622</v>
      </c>
    </row>
    <row r="130" customFormat="false" ht="25.5" hidden="false" customHeight="true" outlineLevel="0" collapsed="false">
      <c r="A130" s="5" t="s">
        <v>367</v>
      </c>
      <c r="B130" s="5" t="s">
        <v>1646</v>
      </c>
      <c r="C130" s="5" t="s">
        <v>1663</v>
      </c>
      <c r="D130" s="5" t="s">
        <v>1664</v>
      </c>
      <c r="E130" s="5" t="s">
        <v>622</v>
      </c>
    </row>
    <row r="131" customFormat="false" ht="25.5" hidden="false" customHeight="true" outlineLevel="0" collapsed="false">
      <c r="A131" s="4" t="s">
        <v>368</v>
      </c>
      <c r="B131" s="4" t="s">
        <v>1665</v>
      </c>
      <c r="C131" s="4" t="s">
        <v>1666</v>
      </c>
      <c r="D131" s="4" t="s">
        <v>1667</v>
      </c>
      <c r="E131" s="4" t="s">
        <v>622</v>
      </c>
    </row>
    <row r="132" customFormat="false" ht="25.5" hidden="false" customHeight="true" outlineLevel="0" collapsed="false">
      <c r="A132" s="5" t="s">
        <v>368</v>
      </c>
      <c r="B132" s="5" t="s">
        <v>1665</v>
      </c>
      <c r="C132" s="5" t="s">
        <v>1668</v>
      </c>
      <c r="D132" s="5" t="s">
        <v>1259</v>
      </c>
      <c r="E132" s="5" t="s">
        <v>622</v>
      </c>
    </row>
    <row r="133" customFormat="false" ht="25.5" hidden="false" customHeight="true" outlineLevel="0" collapsed="false">
      <c r="A133" s="4" t="s">
        <v>368</v>
      </c>
      <c r="B133" s="4" t="s">
        <v>1665</v>
      </c>
      <c r="C133" s="4" t="s">
        <v>1669</v>
      </c>
      <c r="D133" s="4" t="s">
        <v>1670</v>
      </c>
      <c r="E133" s="4" t="s">
        <v>622</v>
      </c>
    </row>
    <row r="134" customFormat="false" ht="25.5" hidden="false" customHeight="true" outlineLevel="0" collapsed="false">
      <c r="A134" s="5" t="s">
        <v>368</v>
      </c>
      <c r="B134" s="5" t="s">
        <v>1665</v>
      </c>
      <c r="C134" s="5" t="s">
        <v>1671</v>
      </c>
      <c r="D134" s="5" t="s">
        <v>1672</v>
      </c>
      <c r="E134" s="5" t="s">
        <v>622</v>
      </c>
    </row>
    <row r="135" customFormat="false" ht="25.5" hidden="false" customHeight="true" outlineLevel="0" collapsed="false">
      <c r="A135" s="4" t="s">
        <v>368</v>
      </c>
      <c r="B135" s="4" t="s">
        <v>1665</v>
      </c>
      <c r="C135" s="4" t="s">
        <v>1673</v>
      </c>
      <c r="D135" s="4" t="s">
        <v>1674</v>
      </c>
      <c r="E135" s="4" t="s">
        <v>622</v>
      </c>
    </row>
    <row r="136" customFormat="false" ht="25.5" hidden="false" customHeight="true" outlineLevel="0" collapsed="false">
      <c r="A136" s="5" t="s">
        <v>368</v>
      </c>
      <c r="B136" s="5" t="s">
        <v>1665</v>
      </c>
      <c r="C136" s="5" t="s">
        <v>1675</v>
      </c>
      <c r="D136" s="5" t="s">
        <v>1676</v>
      </c>
      <c r="E136" s="5" t="s">
        <v>622</v>
      </c>
    </row>
    <row r="137" customFormat="false" ht="25.5" hidden="false" customHeight="true" outlineLevel="0" collapsed="false">
      <c r="A137" s="4" t="s">
        <v>368</v>
      </c>
      <c r="B137" s="4" t="s">
        <v>1665</v>
      </c>
      <c r="C137" s="4" t="s">
        <v>1677</v>
      </c>
      <c r="D137" s="4" t="s">
        <v>1551</v>
      </c>
      <c r="E137" s="4" t="s">
        <v>622</v>
      </c>
    </row>
    <row r="138" customFormat="false" ht="25.5" hidden="false" customHeight="true" outlineLevel="0" collapsed="false">
      <c r="A138" s="5" t="s">
        <v>368</v>
      </c>
      <c r="B138" s="5" t="s">
        <v>1665</v>
      </c>
      <c r="C138" s="5" t="s">
        <v>1678</v>
      </c>
      <c r="D138" s="5" t="s">
        <v>1679</v>
      </c>
      <c r="E138" s="5" t="s">
        <v>622</v>
      </c>
    </row>
    <row r="139" customFormat="false" ht="25.5" hidden="false" customHeight="true" outlineLevel="0" collapsed="false">
      <c r="A139" s="4" t="s">
        <v>368</v>
      </c>
      <c r="B139" s="4" t="s">
        <v>1665</v>
      </c>
      <c r="C139" s="4" t="s">
        <v>1680</v>
      </c>
      <c r="D139" s="4" t="s">
        <v>1681</v>
      </c>
      <c r="E139" s="4" t="s">
        <v>622</v>
      </c>
    </row>
    <row r="140" customFormat="false" ht="25.5" hidden="false" customHeight="true" outlineLevel="0" collapsed="false">
      <c r="A140" s="5" t="s">
        <v>368</v>
      </c>
      <c r="B140" s="5" t="s">
        <v>1665</v>
      </c>
      <c r="C140" s="5" t="s">
        <v>1682</v>
      </c>
      <c r="D140" s="5" t="s">
        <v>1683</v>
      </c>
      <c r="E140" s="5" t="s">
        <v>622</v>
      </c>
    </row>
    <row r="141" customFormat="false" ht="25.5" hidden="false" customHeight="true" outlineLevel="0" collapsed="false">
      <c r="A141" s="4" t="s">
        <v>368</v>
      </c>
      <c r="B141" s="4" t="s">
        <v>1665</v>
      </c>
      <c r="C141" s="4" t="s">
        <v>1684</v>
      </c>
      <c r="D141" s="4" t="s">
        <v>1685</v>
      </c>
      <c r="E141" s="4" t="s">
        <v>622</v>
      </c>
    </row>
    <row r="142" customFormat="false" ht="25.5" hidden="false" customHeight="true" outlineLevel="0" collapsed="false">
      <c r="A142" s="5" t="s">
        <v>368</v>
      </c>
      <c r="B142" s="5" t="s">
        <v>1665</v>
      </c>
      <c r="C142" s="5" t="s">
        <v>1686</v>
      </c>
      <c r="D142" s="5" t="s">
        <v>1687</v>
      </c>
      <c r="E142" s="5" t="s">
        <v>622</v>
      </c>
    </row>
    <row r="143" customFormat="false" ht="25.5" hidden="false" customHeight="true" outlineLevel="0" collapsed="false">
      <c r="A143" s="4" t="s">
        <v>368</v>
      </c>
      <c r="B143" s="4" t="s">
        <v>1688</v>
      </c>
      <c r="C143" s="4" t="s">
        <v>1689</v>
      </c>
      <c r="D143" s="4" t="s">
        <v>1690</v>
      </c>
      <c r="E143" s="4" t="s">
        <v>622</v>
      </c>
    </row>
    <row r="144" customFormat="false" ht="25.5" hidden="false" customHeight="true" outlineLevel="0" collapsed="false">
      <c r="A144" s="5" t="s">
        <v>368</v>
      </c>
      <c r="B144" s="5" t="s">
        <v>1688</v>
      </c>
      <c r="C144" s="5" t="s">
        <v>1691</v>
      </c>
      <c r="D144" s="5" t="s">
        <v>1692</v>
      </c>
      <c r="E144" s="5" t="s">
        <v>622</v>
      </c>
    </row>
    <row r="145" customFormat="false" ht="25.5" hidden="false" customHeight="true" outlineLevel="0" collapsed="false">
      <c r="A145" s="4" t="s">
        <v>368</v>
      </c>
      <c r="B145" s="4" t="s">
        <v>1688</v>
      </c>
      <c r="C145" s="4" t="s">
        <v>1693</v>
      </c>
      <c r="D145" s="4" t="s">
        <v>1694</v>
      </c>
      <c r="E145" s="4" t="s">
        <v>622</v>
      </c>
    </row>
    <row r="146" customFormat="false" ht="25.5" hidden="false" customHeight="true" outlineLevel="0" collapsed="false">
      <c r="A146" s="5" t="s">
        <v>368</v>
      </c>
      <c r="B146" s="5" t="s">
        <v>1688</v>
      </c>
      <c r="C146" s="5" t="s">
        <v>1695</v>
      </c>
      <c r="D146" s="5" t="s">
        <v>1696</v>
      </c>
      <c r="E146" s="5" t="s">
        <v>622</v>
      </c>
    </row>
    <row r="147" customFormat="false" ht="25.5" hidden="false" customHeight="true" outlineLevel="0" collapsed="false">
      <c r="A147" s="4" t="s">
        <v>368</v>
      </c>
      <c r="B147" s="4" t="s">
        <v>1688</v>
      </c>
      <c r="C147" s="4" t="s">
        <v>1697</v>
      </c>
      <c r="D147" s="4" t="s">
        <v>1698</v>
      </c>
      <c r="E147" s="4" t="s">
        <v>622</v>
      </c>
    </row>
    <row r="148" customFormat="false" ht="25.5" hidden="false" customHeight="true" outlineLevel="0" collapsed="false">
      <c r="A148" s="5" t="s">
        <v>770</v>
      </c>
      <c r="B148" s="5" t="s">
        <v>1699</v>
      </c>
      <c r="C148" s="5" t="s">
        <v>1700</v>
      </c>
      <c r="D148" s="5" t="s">
        <v>1701</v>
      </c>
      <c r="E148" s="5" t="s">
        <v>622</v>
      </c>
    </row>
    <row r="149" customFormat="false" ht="25.5" hidden="false" customHeight="true" outlineLevel="0" collapsed="false">
      <c r="A149" s="4" t="s">
        <v>770</v>
      </c>
      <c r="B149" s="4" t="s">
        <v>1699</v>
      </c>
      <c r="C149" s="4" t="s">
        <v>1702</v>
      </c>
      <c r="D149" s="4" t="s">
        <v>1703</v>
      </c>
      <c r="E149" s="4" t="s">
        <v>622</v>
      </c>
    </row>
    <row r="150" customFormat="false" ht="25.5" hidden="false" customHeight="true" outlineLevel="0" collapsed="false">
      <c r="A150" s="5" t="s">
        <v>770</v>
      </c>
      <c r="B150" s="5" t="s">
        <v>1699</v>
      </c>
      <c r="C150" s="5" t="s">
        <v>1704</v>
      </c>
      <c r="D150" s="5" t="s">
        <v>1490</v>
      </c>
      <c r="E150" s="5" t="s">
        <v>622</v>
      </c>
    </row>
    <row r="151" customFormat="false" ht="25.5" hidden="false" customHeight="true" outlineLevel="0" collapsed="false">
      <c r="A151" s="4" t="s">
        <v>770</v>
      </c>
      <c r="B151" s="4" t="s">
        <v>1699</v>
      </c>
      <c r="C151" s="4" t="s">
        <v>1705</v>
      </c>
      <c r="D151" s="4" t="s">
        <v>1706</v>
      </c>
      <c r="E151" s="4" t="s">
        <v>622</v>
      </c>
    </row>
    <row r="152" customFormat="false" ht="25.5" hidden="false" customHeight="true" outlineLevel="0" collapsed="false">
      <c r="A152" s="5" t="s">
        <v>770</v>
      </c>
      <c r="B152" s="5" t="s">
        <v>1699</v>
      </c>
      <c r="C152" s="5" t="s">
        <v>1707</v>
      </c>
      <c r="D152" s="5" t="s">
        <v>1708</v>
      </c>
      <c r="E152" s="5" t="s">
        <v>622</v>
      </c>
    </row>
    <row r="153" customFormat="false" ht="25.5" hidden="false" customHeight="true" outlineLevel="0" collapsed="false">
      <c r="A153" s="4" t="s">
        <v>770</v>
      </c>
      <c r="B153" s="4" t="s">
        <v>1699</v>
      </c>
      <c r="C153" s="4" t="s">
        <v>1709</v>
      </c>
      <c r="D153" s="4" t="s">
        <v>1710</v>
      </c>
      <c r="E153" s="4" t="s">
        <v>622</v>
      </c>
    </row>
    <row r="154" customFormat="false" ht="25.5" hidden="false" customHeight="true" outlineLevel="0" collapsed="false">
      <c r="A154" s="5" t="s">
        <v>770</v>
      </c>
      <c r="B154" s="5" t="s">
        <v>1699</v>
      </c>
      <c r="C154" s="5" t="s">
        <v>1711</v>
      </c>
      <c r="D154" s="5" t="s">
        <v>1576</v>
      </c>
      <c r="E154" s="5" t="s">
        <v>622</v>
      </c>
    </row>
    <row r="155" customFormat="false" ht="25.5" hidden="false" customHeight="true" outlineLevel="0" collapsed="false">
      <c r="A155" s="4" t="s">
        <v>770</v>
      </c>
      <c r="B155" s="4" t="s">
        <v>1699</v>
      </c>
      <c r="C155" s="4" t="s">
        <v>1712</v>
      </c>
      <c r="D155" s="4" t="s">
        <v>1713</v>
      </c>
      <c r="E155" s="4" t="s">
        <v>622</v>
      </c>
    </row>
    <row r="156" customFormat="false" ht="25.5" hidden="false" customHeight="true" outlineLevel="0" collapsed="false">
      <c r="A156" s="5" t="s">
        <v>770</v>
      </c>
      <c r="B156" s="5" t="s">
        <v>1699</v>
      </c>
      <c r="C156" s="5" t="s">
        <v>1714</v>
      </c>
      <c r="D156" s="5" t="s">
        <v>1715</v>
      </c>
      <c r="E156" s="5" t="s">
        <v>622</v>
      </c>
    </row>
    <row r="157" customFormat="false" ht="25.5" hidden="false" customHeight="true" outlineLevel="0" collapsed="false">
      <c r="A157" s="4" t="s">
        <v>770</v>
      </c>
      <c r="B157" s="4" t="s">
        <v>1699</v>
      </c>
      <c r="C157" s="4" t="s">
        <v>1716</v>
      </c>
      <c r="D157" s="4" t="s">
        <v>1717</v>
      </c>
      <c r="E157" s="4" t="s">
        <v>622</v>
      </c>
    </row>
    <row r="158" customFormat="false" ht="25.5" hidden="false" customHeight="true" outlineLevel="0" collapsed="false">
      <c r="A158" s="5" t="s">
        <v>770</v>
      </c>
      <c r="B158" s="5" t="s">
        <v>1699</v>
      </c>
      <c r="C158" s="5" t="s">
        <v>1718</v>
      </c>
      <c r="D158" s="5" t="s">
        <v>1719</v>
      </c>
      <c r="E158" s="5" t="s">
        <v>622</v>
      </c>
    </row>
    <row r="159" customFormat="false" ht="25.5" hidden="false" customHeight="true" outlineLevel="0" collapsed="false">
      <c r="A159" s="4" t="s">
        <v>770</v>
      </c>
      <c r="B159" s="4" t="s">
        <v>1699</v>
      </c>
      <c r="C159" s="4" t="s">
        <v>1720</v>
      </c>
      <c r="D159" s="4" t="s">
        <v>1701</v>
      </c>
      <c r="E159" s="4" t="s">
        <v>622</v>
      </c>
    </row>
    <row r="160" customFormat="false" ht="25.5" hidden="false" customHeight="true" outlineLevel="0" collapsed="false">
      <c r="A160" s="5" t="s">
        <v>770</v>
      </c>
      <c r="B160" s="5" t="s">
        <v>1699</v>
      </c>
      <c r="C160" s="5" t="s">
        <v>1721</v>
      </c>
      <c r="D160" s="5" t="s">
        <v>1722</v>
      </c>
      <c r="E160" s="5" t="s">
        <v>622</v>
      </c>
    </row>
    <row r="161" customFormat="false" ht="25.5" hidden="false" customHeight="true" outlineLevel="0" collapsed="false">
      <c r="A161" s="4" t="s">
        <v>770</v>
      </c>
      <c r="B161" s="4" t="s">
        <v>1699</v>
      </c>
      <c r="C161" s="4" t="s">
        <v>1723</v>
      </c>
      <c r="D161" s="4" t="s">
        <v>1724</v>
      </c>
      <c r="E161" s="4" t="s">
        <v>622</v>
      </c>
    </row>
    <row r="162" customFormat="false" ht="25.5" hidden="false" customHeight="true" outlineLevel="0" collapsed="false">
      <c r="A162" s="5" t="s">
        <v>770</v>
      </c>
      <c r="B162" s="5" t="s">
        <v>1699</v>
      </c>
      <c r="C162" s="5" t="s">
        <v>1725</v>
      </c>
      <c r="D162" s="5" t="s">
        <v>1726</v>
      </c>
      <c r="E162" s="5" t="s">
        <v>622</v>
      </c>
    </row>
    <row r="163" customFormat="false" ht="25.5" hidden="false" customHeight="true" outlineLevel="0" collapsed="false">
      <c r="A163" s="4" t="s">
        <v>770</v>
      </c>
      <c r="B163" s="4" t="s">
        <v>1699</v>
      </c>
      <c r="C163" s="4" t="s">
        <v>1727</v>
      </c>
      <c r="D163" s="4" t="s">
        <v>1728</v>
      </c>
      <c r="E163" s="4" t="s">
        <v>622</v>
      </c>
    </row>
    <row r="164" customFormat="false" ht="25.5" hidden="false" customHeight="true" outlineLevel="0" collapsed="false">
      <c r="A164" s="5" t="s">
        <v>770</v>
      </c>
      <c r="B164" s="5" t="s">
        <v>1699</v>
      </c>
      <c r="C164" s="5" t="s">
        <v>1729</v>
      </c>
      <c r="D164" s="5" t="s">
        <v>1730</v>
      </c>
      <c r="E164" s="5" t="s">
        <v>622</v>
      </c>
    </row>
    <row r="165" customFormat="false" ht="25.5" hidden="false" customHeight="true" outlineLevel="0" collapsed="false">
      <c r="A165" s="4" t="s">
        <v>770</v>
      </c>
      <c r="B165" s="4" t="s">
        <v>1699</v>
      </c>
      <c r="C165" s="4" t="s">
        <v>1731</v>
      </c>
      <c r="D165" s="4" t="s">
        <v>1732</v>
      </c>
      <c r="E165" s="4" t="s">
        <v>622</v>
      </c>
    </row>
    <row r="166" customFormat="false" ht="25.5" hidden="false" customHeight="true" outlineLevel="0" collapsed="false">
      <c r="A166" s="5" t="s">
        <v>770</v>
      </c>
      <c r="B166" s="5" t="s">
        <v>1699</v>
      </c>
      <c r="C166" s="5" t="s">
        <v>1733</v>
      </c>
      <c r="D166" s="5" t="s">
        <v>1734</v>
      </c>
      <c r="E166" s="5" t="s">
        <v>622</v>
      </c>
    </row>
    <row r="167" customFormat="false" ht="25.5" hidden="false" customHeight="true" outlineLevel="0" collapsed="false">
      <c r="A167" s="4" t="s">
        <v>770</v>
      </c>
      <c r="B167" s="4" t="s">
        <v>1699</v>
      </c>
      <c r="C167" s="4" t="s">
        <v>1735</v>
      </c>
      <c r="D167" s="4" t="s">
        <v>1736</v>
      </c>
      <c r="E167" s="4" t="s">
        <v>622</v>
      </c>
    </row>
    <row r="168" customFormat="false" ht="25.5" hidden="false" customHeight="true" outlineLevel="0" collapsed="false">
      <c r="A168" s="5" t="s">
        <v>770</v>
      </c>
      <c r="B168" s="5" t="s">
        <v>1699</v>
      </c>
      <c r="C168" s="5" t="s">
        <v>1737</v>
      </c>
      <c r="D168" s="5" t="s">
        <v>1738</v>
      </c>
      <c r="E168" s="5" t="s">
        <v>622</v>
      </c>
    </row>
    <row r="169" customFormat="false" ht="25.5" hidden="false" customHeight="true" outlineLevel="0" collapsed="false">
      <c r="A169" s="4" t="s">
        <v>770</v>
      </c>
      <c r="B169" s="4" t="s">
        <v>1699</v>
      </c>
      <c r="C169" s="4" t="s">
        <v>1739</v>
      </c>
      <c r="D169" s="4" t="s">
        <v>1740</v>
      </c>
      <c r="E169" s="4" t="s">
        <v>622</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1741</v>
      </c>
    </row>
    <row r="2" customFormat="false" ht="15" hidden="false" customHeight="false" outlineLevel="0" collapsed="false">
      <c r="A2" s="2" t="s">
        <v>1742</v>
      </c>
    </row>
    <row r="4" customFormat="false" ht="30" hidden="false" customHeight="true" outlineLevel="0" collapsed="false">
      <c r="A4" s="3" t="s">
        <v>1743</v>
      </c>
      <c r="B4" s="3" t="s">
        <v>1744</v>
      </c>
      <c r="C4" s="3" t="s">
        <v>1745</v>
      </c>
      <c r="D4" s="3" t="s">
        <v>1746</v>
      </c>
      <c r="E4" s="3" t="s">
        <v>862</v>
      </c>
      <c r="F4" s="3" t="s">
        <v>1747</v>
      </c>
      <c r="G4" s="3" t="s">
        <v>1748</v>
      </c>
      <c r="H4" s="3" t="s">
        <v>1749</v>
      </c>
    </row>
    <row r="5" customFormat="false" ht="54" hidden="false" customHeight="true" outlineLevel="0" collapsed="false">
      <c r="A5" s="4" t="s">
        <v>1750</v>
      </c>
      <c r="B5" s="4" t="s">
        <v>1751</v>
      </c>
      <c r="C5" s="4" t="s">
        <v>1752</v>
      </c>
      <c r="D5" s="4" t="s">
        <v>1753</v>
      </c>
      <c r="E5" s="4" t="s">
        <v>873</v>
      </c>
      <c r="F5" s="4" t="s">
        <v>622</v>
      </c>
      <c r="G5" s="4" t="s">
        <v>1754</v>
      </c>
      <c r="H5" s="4" t="s">
        <v>1755</v>
      </c>
    </row>
    <row r="6" customFormat="false" ht="54" hidden="false" customHeight="true" outlineLevel="0" collapsed="false">
      <c r="A6" s="5" t="s">
        <v>1756</v>
      </c>
      <c r="B6" s="5" t="s">
        <v>1757</v>
      </c>
      <c r="C6" s="5" t="s">
        <v>1758</v>
      </c>
      <c r="D6" s="5" t="s">
        <v>1759</v>
      </c>
      <c r="E6" s="5" t="s">
        <v>873</v>
      </c>
      <c r="F6" s="5" t="s">
        <v>622</v>
      </c>
      <c r="G6" s="5" t="s">
        <v>1760</v>
      </c>
      <c r="H6" s="5" t="s">
        <v>1761</v>
      </c>
    </row>
    <row r="7" customFormat="false" ht="54" hidden="false" customHeight="true" outlineLevel="0" collapsed="false">
      <c r="A7" s="4" t="s">
        <v>1762</v>
      </c>
      <c r="B7" s="4" t="s">
        <v>1763</v>
      </c>
      <c r="C7" s="4" t="s">
        <v>1764</v>
      </c>
      <c r="D7" s="4" t="s">
        <v>1765</v>
      </c>
      <c r="E7" s="4" t="s">
        <v>873</v>
      </c>
      <c r="F7" s="4" t="s">
        <v>622</v>
      </c>
      <c r="G7" s="4" t="s">
        <v>1766</v>
      </c>
      <c r="H7" s="4" t="s">
        <v>1767</v>
      </c>
    </row>
    <row r="8" customFormat="false" ht="54" hidden="false" customHeight="true" outlineLevel="0" collapsed="false">
      <c r="A8" s="5" t="s">
        <v>1768</v>
      </c>
      <c r="B8" s="5" t="s">
        <v>1769</v>
      </c>
      <c r="C8" s="5" t="s">
        <v>150</v>
      </c>
      <c r="D8" s="5" t="s">
        <v>1770</v>
      </c>
      <c r="E8" s="5" t="s">
        <v>873</v>
      </c>
      <c r="F8" s="5" t="s">
        <v>622</v>
      </c>
      <c r="G8" s="5" t="s">
        <v>1771</v>
      </c>
      <c r="H8" s="5" t="s">
        <v>1772</v>
      </c>
    </row>
    <row r="9" customFormat="false" ht="54" hidden="false" customHeight="true" outlineLevel="0" collapsed="false">
      <c r="A9" s="4" t="s">
        <v>1773</v>
      </c>
      <c r="B9" s="4" t="s">
        <v>1774</v>
      </c>
      <c r="C9" s="4" t="s">
        <v>496</v>
      </c>
      <c r="D9" s="4" t="s">
        <v>1775</v>
      </c>
      <c r="E9" s="4" t="s">
        <v>873</v>
      </c>
      <c r="F9" s="4" t="s">
        <v>622</v>
      </c>
      <c r="G9" s="4" t="s">
        <v>1776</v>
      </c>
      <c r="H9" s="4" t="s">
        <v>1777</v>
      </c>
    </row>
    <row r="10" customFormat="false" ht="54" hidden="false" customHeight="true" outlineLevel="0" collapsed="false">
      <c r="A10" s="5" t="s">
        <v>1778</v>
      </c>
      <c r="B10" s="5" t="s">
        <v>1757</v>
      </c>
      <c r="C10" s="5" t="s">
        <v>1779</v>
      </c>
      <c r="D10" s="5" t="s">
        <v>1780</v>
      </c>
      <c r="E10" s="5" t="s">
        <v>873</v>
      </c>
      <c r="F10" s="5" t="s">
        <v>622</v>
      </c>
      <c r="G10" s="5" t="s">
        <v>1781</v>
      </c>
      <c r="H10" s="5" t="s">
        <v>1782</v>
      </c>
    </row>
    <row r="11" customFormat="false" ht="54" hidden="false" customHeight="true" outlineLevel="0" collapsed="false">
      <c r="A11" s="4" t="s">
        <v>1783</v>
      </c>
      <c r="B11" s="4" t="s">
        <v>1757</v>
      </c>
      <c r="C11" s="4" t="s">
        <v>1784</v>
      </c>
      <c r="D11" s="4" t="s">
        <v>1785</v>
      </c>
      <c r="E11" s="4" t="s">
        <v>873</v>
      </c>
      <c r="F11" s="4" t="s">
        <v>622</v>
      </c>
      <c r="G11" s="4" t="s">
        <v>1786</v>
      </c>
      <c r="H11" s="4" t="s">
        <v>1787</v>
      </c>
    </row>
    <row r="12" customFormat="false" ht="54" hidden="false" customHeight="true" outlineLevel="0" collapsed="false">
      <c r="A12" s="5" t="s">
        <v>1788</v>
      </c>
      <c r="B12" s="5" t="s">
        <v>1757</v>
      </c>
      <c r="C12" s="5" t="s">
        <v>1789</v>
      </c>
      <c r="D12" s="5" t="s">
        <v>1790</v>
      </c>
      <c r="E12" s="5" t="s">
        <v>873</v>
      </c>
      <c r="F12" s="5" t="s">
        <v>622</v>
      </c>
      <c r="G12" s="5" t="s">
        <v>1791</v>
      </c>
      <c r="H12" s="5" t="s">
        <v>1755</v>
      </c>
    </row>
    <row r="13" customFormat="false" ht="54" hidden="false" customHeight="true" outlineLevel="0" collapsed="false">
      <c r="A13" s="4" t="s">
        <v>1792</v>
      </c>
      <c r="B13" s="4" t="s">
        <v>1757</v>
      </c>
      <c r="C13" s="4" t="s">
        <v>1793</v>
      </c>
      <c r="D13" s="4" t="s">
        <v>1794</v>
      </c>
      <c r="E13" s="4" t="s">
        <v>873</v>
      </c>
      <c r="F13" s="4" t="s">
        <v>622</v>
      </c>
      <c r="G13" s="4" t="s">
        <v>1795</v>
      </c>
      <c r="H13" s="4" t="s">
        <v>1796</v>
      </c>
    </row>
    <row r="14" customFormat="false" ht="54" hidden="false" customHeight="true" outlineLevel="0" collapsed="false">
      <c r="A14" s="5" t="s">
        <v>1797</v>
      </c>
      <c r="B14" s="5" t="s">
        <v>1798</v>
      </c>
      <c r="C14" s="5" t="s">
        <v>1799</v>
      </c>
      <c r="D14" s="5" t="s">
        <v>1800</v>
      </c>
      <c r="E14" s="5" t="s">
        <v>873</v>
      </c>
      <c r="F14" s="5" t="s">
        <v>622</v>
      </c>
      <c r="G14" s="5" t="s">
        <v>1801</v>
      </c>
      <c r="H14" s="5" t="s">
        <v>1755</v>
      </c>
    </row>
    <row r="15" customFormat="false" ht="54" hidden="false" customHeight="true" outlineLevel="0" collapsed="false">
      <c r="A15" s="4" t="s">
        <v>1802</v>
      </c>
      <c r="B15" s="4" t="s">
        <v>1757</v>
      </c>
      <c r="C15" s="4" t="s">
        <v>1803</v>
      </c>
      <c r="D15" s="4" t="s">
        <v>1804</v>
      </c>
      <c r="E15" s="4" t="s">
        <v>873</v>
      </c>
      <c r="F15" s="4" t="s">
        <v>622</v>
      </c>
      <c r="G15" s="4" t="s">
        <v>1805</v>
      </c>
      <c r="H15" s="4" t="s">
        <v>1755</v>
      </c>
    </row>
    <row r="16" customFormat="false" ht="54" hidden="false" customHeight="true" outlineLevel="0" collapsed="false">
      <c r="A16" s="5" t="s">
        <v>1806</v>
      </c>
      <c r="B16" s="5" t="s">
        <v>1757</v>
      </c>
      <c r="C16" s="5" t="s">
        <v>1807</v>
      </c>
      <c r="D16" s="5" t="s">
        <v>1808</v>
      </c>
      <c r="E16" s="5" t="s">
        <v>873</v>
      </c>
      <c r="F16" s="5" t="s">
        <v>622</v>
      </c>
      <c r="G16" s="5" t="s">
        <v>1809</v>
      </c>
      <c r="H16" s="5" t="s">
        <v>1810</v>
      </c>
    </row>
    <row r="17" customFormat="false" ht="54" hidden="false" customHeight="true" outlineLevel="0" collapsed="false">
      <c r="A17" s="4" t="s">
        <v>1811</v>
      </c>
      <c r="B17" s="4" t="s">
        <v>1812</v>
      </c>
      <c r="C17" s="4" t="s">
        <v>1813</v>
      </c>
      <c r="D17" s="4" t="s">
        <v>1814</v>
      </c>
      <c r="E17" s="4" t="s">
        <v>1139</v>
      </c>
      <c r="F17" s="4" t="s">
        <v>622</v>
      </c>
      <c r="G17" s="4" t="s">
        <v>1815</v>
      </c>
      <c r="H17" s="4" t="s">
        <v>1816</v>
      </c>
    </row>
    <row r="18" customFormat="false" ht="54" hidden="false" customHeight="true" outlineLevel="0" collapsed="false">
      <c r="A18" s="5" t="s">
        <v>1817</v>
      </c>
      <c r="B18" s="5" t="s">
        <v>1818</v>
      </c>
      <c r="C18" s="5" t="s">
        <v>1819</v>
      </c>
      <c r="D18" s="5" t="s">
        <v>1820</v>
      </c>
      <c r="E18" s="5" t="s">
        <v>1139</v>
      </c>
      <c r="F18" s="5" t="s">
        <v>622</v>
      </c>
      <c r="G18" s="5" t="s">
        <v>1821</v>
      </c>
      <c r="H18" s="5" t="s">
        <v>1822</v>
      </c>
    </row>
    <row r="19" customFormat="false" ht="54" hidden="false" customHeight="true" outlineLevel="0" collapsed="false">
      <c r="A19" s="4" t="s">
        <v>1823</v>
      </c>
      <c r="B19" s="4" t="s">
        <v>1824</v>
      </c>
      <c r="C19" s="4" t="s">
        <v>1825</v>
      </c>
      <c r="D19" s="4" t="s">
        <v>1826</v>
      </c>
      <c r="E19" s="4" t="s">
        <v>873</v>
      </c>
      <c r="F19" s="4" t="s">
        <v>622</v>
      </c>
      <c r="G19" s="4" t="s">
        <v>1827</v>
      </c>
      <c r="H19" s="4" t="s">
        <v>1828</v>
      </c>
    </row>
    <row r="20" customFormat="false" ht="54" hidden="false" customHeight="true" outlineLevel="0" collapsed="false">
      <c r="A20" s="5" t="s">
        <v>1829</v>
      </c>
      <c r="B20" s="5" t="s">
        <v>1830</v>
      </c>
      <c r="C20" s="5" t="s">
        <v>1831</v>
      </c>
      <c r="D20" s="5" t="s">
        <v>1832</v>
      </c>
      <c r="E20" s="5" t="s">
        <v>880</v>
      </c>
      <c r="F20" s="5" t="s">
        <v>622</v>
      </c>
      <c r="G20" s="5" t="s">
        <v>1833</v>
      </c>
      <c r="H20" s="5" t="s">
        <v>1834</v>
      </c>
    </row>
    <row r="21" customFormat="false" ht="54" hidden="false" customHeight="true" outlineLevel="0" collapsed="false">
      <c r="A21" s="4" t="s">
        <v>1835</v>
      </c>
      <c r="B21" s="4" t="s">
        <v>1836</v>
      </c>
      <c r="C21" s="4" t="s">
        <v>1837</v>
      </c>
      <c r="D21" s="4" t="s">
        <v>1838</v>
      </c>
      <c r="E21" s="4" t="s">
        <v>1839</v>
      </c>
      <c r="F21" s="4" t="s">
        <v>1840</v>
      </c>
      <c r="G21" s="4" t="s">
        <v>1841</v>
      </c>
      <c r="H21" s="4" t="s">
        <v>1842</v>
      </c>
    </row>
    <row r="22" customFormat="false" ht="54" hidden="false" customHeight="true" outlineLevel="0" collapsed="false">
      <c r="A22" s="5" t="s">
        <v>1843</v>
      </c>
      <c r="B22" s="5" t="s">
        <v>1844</v>
      </c>
      <c r="C22" s="5" t="s">
        <v>1845</v>
      </c>
      <c r="D22" s="5" t="s">
        <v>1846</v>
      </c>
      <c r="E22" s="5" t="s">
        <v>1105</v>
      </c>
      <c r="F22" s="5" t="s">
        <v>622</v>
      </c>
      <c r="G22" s="5" t="s">
        <v>1847</v>
      </c>
      <c r="H22" s="5" t="s">
        <v>1848</v>
      </c>
    </row>
  </sheetData>
  <autoFilter ref="A4:H4"/>
  <conditionalFormatting sqref="F5:F22">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1849</v>
      </c>
    </row>
    <row r="2" customFormat="false" ht="15" hidden="false" customHeight="false" outlineLevel="0" collapsed="false">
      <c r="A2" s="2" t="s">
        <v>1850</v>
      </c>
    </row>
    <row r="4" customFormat="false" ht="30" hidden="false" customHeight="true" outlineLevel="0" collapsed="false">
      <c r="A4" s="3" t="s">
        <v>857</v>
      </c>
      <c r="B4" s="3" t="s">
        <v>1851</v>
      </c>
      <c r="C4" s="3" t="s">
        <v>1852</v>
      </c>
      <c r="D4" s="3" t="s">
        <v>1853</v>
      </c>
      <c r="E4" s="3" t="s">
        <v>1854</v>
      </c>
      <c r="F4" s="3" t="s">
        <v>1855</v>
      </c>
      <c r="G4" s="3" t="s">
        <v>1856</v>
      </c>
      <c r="H4" s="3" t="s">
        <v>277</v>
      </c>
    </row>
    <row r="5" customFormat="false" ht="57.75" hidden="false" customHeight="true" outlineLevel="0" collapsed="false">
      <c r="A5" s="4" t="s">
        <v>1857</v>
      </c>
      <c r="B5" s="4" t="s">
        <v>1858</v>
      </c>
      <c r="C5" s="4" t="s">
        <v>1859</v>
      </c>
      <c r="D5" s="4" t="s">
        <v>1860</v>
      </c>
      <c r="E5" s="4" t="s">
        <v>1861</v>
      </c>
      <c r="F5" s="4" t="s">
        <v>1862</v>
      </c>
      <c r="G5" s="4" t="s">
        <v>124</v>
      </c>
      <c r="H5" s="4" t="s">
        <v>1863</v>
      </c>
    </row>
    <row r="6" customFormat="false" ht="57.75" hidden="false" customHeight="true" outlineLevel="0" collapsed="false">
      <c r="A6" s="5" t="s">
        <v>1864</v>
      </c>
      <c r="B6" s="5" t="s">
        <v>1865</v>
      </c>
      <c r="C6" s="5" t="s">
        <v>1866</v>
      </c>
      <c r="D6" s="5" t="s">
        <v>1867</v>
      </c>
      <c r="E6" s="5" t="s">
        <v>1868</v>
      </c>
      <c r="F6" s="5" t="s">
        <v>1766</v>
      </c>
      <c r="G6" s="5" t="s">
        <v>124</v>
      </c>
      <c r="H6" s="5" t="s">
        <v>1863</v>
      </c>
    </row>
    <row r="7" customFormat="false" ht="57.75" hidden="false" customHeight="true" outlineLevel="0" collapsed="false">
      <c r="A7" s="4" t="s">
        <v>1869</v>
      </c>
      <c r="B7" s="4" t="s">
        <v>1870</v>
      </c>
      <c r="C7" s="4" t="s">
        <v>1871</v>
      </c>
      <c r="D7" s="4" t="s">
        <v>1872</v>
      </c>
      <c r="E7" s="4" t="s">
        <v>1873</v>
      </c>
      <c r="F7" s="4" t="s">
        <v>1874</v>
      </c>
      <c r="G7" s="4" t="s">
        <v>126</v>
      </c>
      <c r="H7" s="4" t="s">
        <v>1863</v>
      </c>
    </row>
    <row r="8" customFormat="false" ht="57.75" hidden="false" customHeight="true" outlineLevel="0" collapsed="false">
      <c r="A8" s="5" t="s">
        <v>1875</v>
      </c>
      <c r="B8" s="5" t="s">
        <v>1876</v>
      </c>
      <c r="C8" s="5" t="s">
        <v>1877</v>
      </c>
      <c r="D8" s="5" t="s">
        <v>1878</v>
      </c>
      <c r="E8" s="5" t="s">
        <v>1879</v>
      </c>
      <c r="F8" s="5" t="s">
        <v>1880</v>
      </c>
      <c r="G8" s="5" t="s">
        <v>126</v>
      </c>
      <c r="H8" s="5" t="s">
        <v>1863</v>
      </c>
    </row>
    <row r="9" customFormat="false" ht="57.75" hidden="false" customHeight="true" outlineLevel="0" collapsed="false">
      <c r="A9" s="4" t="s">
        <v>1881</v>
      </c>
      <c r="B9" s="4" t="s">
        <v>1882</v>
      </c>
      <c r="C9" s="4" t="s">
        <v>1883</v>
      </c>
      <c r="D9" s="4" t="s">
        <v>1884</v>
      </c>
      <c r="E9" s="4" t="s">
        <v>1885</v>
      </c>
      <c r="F9" s="4" t="s">
        <v>1886</v>
      </c>
      <c r="G9" s="4" t="s">
        <v>124</v>
      </c>
      <c r="H9" s="4" t="s">
        <v>1863</v>
      </c>
    </row>
    <row r="10" customFormat="false" ht="57.75" hidden="false" customHeight="true" outlineLevel="0" collapsed="false">
      <c r="A10" s="5" t="s">
        <v>1887</v>
      </c>
      <c r="B10" s="5" t="s">
        <v>1888</v>
      </c>
      <c r="C10" s="5" t="s">
        <v>1889</v>
      </c>
      <c r="D10" s="5" t="s">
        <v>1890</v>
      </c>
      <c r="E10" s="5" t="s">
        <v>1891</v>
      </c>
      <c r="F10" s="5" t="s">
        <v>1892</v>
      </c>
      <c r="G10" s="5" t="s">
        <v>124</v>
      </c>
      <c r="H10" s="5" t="s">
        <v>1863</v>
      </c>
    </row>
    <row r="11" customFormat="false" ht="57.75" hidden="false" customHeight="true" outlineLevel="0" collapsed="false">
      <c r="A11" s="4" t="s">
        <v>1893</v>
      </c>
      <c r="B11" s="4" t="s">
        <v>1894</v>
      </c>
      <c r="C11" s="4" t="s">
        <v>1895</v>
      </c>
      <c r="D11" s="4" t="s">
        <v>1896</v>
      </c>
      <c r="E11" s="4" t="s">
        <v>1897</v>
      </c>
      <c r="F11" s="4" t="s">
        <v>1795</v>
      </c>
      <c r="G11" s="4" t="s">
        <v>126</v>
      </c>
      <c r="H11" s="4" t="s">
        <v>1863</v>
      </c>
    </row>
    <row r="12" customFormat="false" ht="57.75" hidden="false" customHeight="true" outlineLevel="0" collapsed="false">
      <c r="A12" s="5" t="s">
        <v>1898</v>
      </c>
      <c r="B12" s="5" t="s">
        <v>1899</v>
      </c>
      <c r="C12" s="5" t="s">
        <v>1900</v>
      </c>
      <c r="D12" s="5" t="s">
        <v>1901</v>
      </c>
      <c r="E12" s="5" t="s">
        <v>1902</v>
      </c>
      <c r="F12" s="5" t="s">
        <v>1903</v>
      </c>
      <c r="G12" s="5" t="s">
        <v>126</v>
      </c>
      <c r="H12" s="5" t="s">
        <v>1863</v>
      </c>
    </row>
    <row r="13" customFormat="false" ht="57.75" hidden="false" customHeight="true" outlineLevel="0" collapsed="false">
      <c r="A13" s="4" t="s">
        <v>1904</v>
      </c>
      <c r="B13" s="4" t="s">
        <v>1905</v>
      </c>
      <c r="C13" s="4" t="s">
        <v>1906</v>
      </c>
      <c r="D13" s="4" t="s">
        <v>1907</v>
      </c>
      <c r="E13" s="4" t="s">
        <v>1908</v>
      </c>
      <c r="F13" s="4" t="s">
        <v>1909</v>
      </c>
      <c r="G13" s="4" t="s">
        <v>124</v>
      </c>
      <c r="H13" s="4" t="s">
        <v>1863</v>
      </c>
    </row>
    <row r="14" customFormat="false" ht="57.75" hidden="false" customHeight="true" outlineLevel="0" collapsed="false">
      <c r="A14" s="5" t="s">
        <v>1910</v>
      </c>
      <c r="B14" s="5" t="s">
        <v>1911</v>
      </c>
      <c r="C14" s="5" t="s">
        <v>1912</v>
      </c>
      <c r="D14" s="5" t="s">
        <v>1913</v>
      </c>
      <c r="E14" s="5" t="s">
        <v>1914</v>
      </c>
      <c r="F14" s="5" t="s">
        <v>1915</v>
      </c>
      <c r="G14" s="5" t="s">
        <v>126</v>
      </c>
      <c r="H14" s="5" t="s">
        <v>1863</v>
      </c>
    </row>
    <row r="15" customFormat="false" ht="57.75" hidden="false" customHeight="true" outlineLevel="0" collapsed="false">
      <c r="A15" s="4" t="s">
        <v>1916</v>
      </c>
      <c r="B15" s="4" t="s">
        <v>1917</v>
      </c>
      <c r="C15" s="4" t="s">
        <v>1918</v>
      </c>
      <c r="D15" s="4" t="s">
        <v>1919</v>
      </c>
      <c r="E15" s="4" t="s">
        <v>1920</v>
      </c>
      <c r="F15" s="4" t="s">
        <v>1921</v>
      </c>
      <c r="G15" s="4" t="s">
        <v>126</v>
      </c>
      <c r="H15" s="4" t="s">
        <v>1863</v>
      </c>
    </row>
    <row r="16" customFormat="false" ht="57.75" hidden="false" customHeight="true" outlineLevel="0" collapsed="false">
      <c r="A16" s="5" t="s">
        <v>1922</v>
      </c>
      <c r="B16" s="5" t="s">
        <v>1923</v>
      </c>
      <c r="C16" s="5" t="s">
        <v>1924</v>
      </c>
      <c r="D16" s="5" t="s">
        <v>1925</v>
      </c>
      <c r="E16" s="5" t="s">
        <v>1926</v>
      </c>
      <c r="F16" s="5" t="s">
        <v>1927</v>
      </c>
      <c r="G16" s="5" t="s">
        <v>126</v>
      </c>
      <c r="H16" s="5" t="s">
        <v>1863</v>
      </c>
    </row>
    <row r="17" customFormat="false" ht="57.75" hidden="false" customHeight="true" outlineLevel="0" collapsed="false">
      <c r="A17" s="4" t="s">
        <v>1928</v>
      </c>
      <c r="B17" s="4" t="s">
        <v>1929</v>
      </c>
      <c r="C17" s="4" t="s">
        <v>1930</v>
      </c>
      <c r="D17" s="4" t="s">
        <v>1931</v>
      </c>
      <c r="E17" s="4" t="s">
        <v>1932</v>
      </c>
      <c r="F17" s="4" t="s">
        <v>1933</v>
      </c>
      <c r="G17" s="4" t="s">
        <v>124</v>
      </c>
      <c r="H17" s="4" t="s">
        <v>1863</v>
      </c>
    </row>
    <row r="18" customFormat="false" ht="57.75" hidden="false" customHeight="true" outlineLevel="0" collapsed="false">
      <c r="A18" s="5" t="s">
        <v>1934</v>
      </c>
      <c r="B18" s="5" t="s">
        <v>1935</v>
      </c>
      <c r="C18" s="5" t="s">
        <v>1936</v>
      </c>
      <c r="D18" s="5" t="s">
        <v>1937</v>
      </c>
      <c r="E18" s="5" t="s">
        <v>1938</v>
      </c>
      <c r="F18" s="5" t="s">
        <v>1939</v>
      </c>
      <c r="G18" s="5" t="s">
        <v>124</v>
      </c>
      <c r="H18" s="5" t="s">
        <v>1863</v>
      </c>
    </row>
    <row r="19" customFormat="false" ht="57.75" hidden="false" customHeight="true" outlineLevel="0" collapsed="false">
      <c r="A19" s="4" t="s">
        <v>1940</v>
      </c>
      <c r="B19" s="4" t="s">
        <v>1941</v>
      </c>
      <c r="C19" s="4" t="s">
        <v>1942</v>
      </c>
      <c r="D19" s="4" t="s">
        <v>1943</v>
      </c>
      <c r="E19" s="4" t="s">
        <v>1944</v>
      </c>
      <c r="F19" s="4" t="s">
        <v>1945</v>
      </c>
      <c r="G19" s="4" t="s">
        <v>124</v>
      </c>
      <c r="H19" s="4" t="s">
        <v>1946</v>
      </c>
    </row>
    <row r="20" customFormat="false" ht="57.75" hidden="false" customHeight="true" outlineLevel="0" collapsed="false">
      <c r="A20" s="5" t="s">
        <v>1947</v>
      </c>
      <c r="B20" s="5" t="s">
        <v>1948</v>
      </c>
      <c r="C20" s="5" t="s">
        <v>1949</v>
      </c>
      <c r="D20" s="5" t="s">
        <v>1950</v>
      </c>
      <c r="E20" s="5" t="s">
        <v>1951</v>
      </c>
      <c r="F20" s="5" t="s">
        <v>1952</v>
      </c>
      <c r="G20" s="5" t="s">
        <v>124</v>
      </c>
      <c r="H20" s="5" t="s">
        <v>1953</v>
      </c>
    </row>
    <row r="21" customFormat="false" ht="57.75" hidden="false" customHeight="true" outlineLevel="0" collapsed="false">
      <c r="A21" s="4" t="s">
        <v>1954</v>
      </c>
      <c r="B21" s="4" t="s">
        <v>1955</v>
      </c>
      <c r="C21" s="4" t="s">
        <v>1956</v>
      </c>
      <c r="D21" s="4" t="s">
        <v>1957</v>
      </c>
      <c r="E21" s="4" t="s">
        <v>1958</v>
      </c>
      <c r="F21" s="4" t="s">
        <v>1959</v>
      </c>
      <c r="G21" s="4" t="s">
        <v>126</v>
      </c>
      <c r="H21" s="4" t="s">
        <v>1960</v>
      </c>
    </row>
    <row r="22" customFormat="false" ht="57.75" hidden="false" customHeight="true" outlineLevel="0" collapsed="false">
      <c r="A22" s="5" t="s">
        <v>1961</v>
      </c>
      <c r="B22" s="5" t="s">
        <v>1962</v>
      </c>
      <c r="C22" s="5" t="s">
        <v>1963</v>
      </c>
      <c r="D22" s="5" t="s">
        <v>1964</v>
      </c>
      <c r="E22" s="5" t="s">
        <v>1965</v>
      </c>
      <c r="F22" s="5" t="s">
        <v>1966</v>
      </c>
      <c r="G22" s="5" t="s">
        <v>124</v>
      </c>
      <c r="H22" s="5" t="s">
        <v>1863</v>
      </c>
    </row>
    <row r="23" customFormat="false" ht="57.75" hidden="false" customHeight="true" outlineLevel="0" collapsed="false">
      <c r="A23" s="4" t="s">
        <v>1967</v>
      </c>
      <c r="B23" s="4" t="s">
        <v>1968</v>
      </c>
      <c r="C23" s="4" t="s">
        <v>1969</v>
      </c>
      <c r="D23" s="4" t="s">
        <v>1970</v>
      </c>
      <c r="E23" s="4" t="s">
        <v>1971</v>
      </c>
      <c r="F23" s="4" t="s">
        <v>1972</v>
      </c>
      <c r="G23" s="4" t="s">
        <v>126</v>
      </c>
      <c r="H23" s="4" t="s">
        <v>1863</v>
      </c>
    </row>
    <row r="24" customFormat="false" ht="57.75" hidden="false" customHeight="true" outlineLevel="0" collapsed="false">
      <c r="A24" s="5" t="s">
        <v>1973</v>
      </c>
      <c r="B24" s="5" t="s">
        <v>1974</v>
      </c>
      <c r="C24" s="5" t="s">
        <v>1975</v>
      </c>
      <c r="D24" s="5" t="s">
        <v>1976</v>
      </c>
      <c r="E24" s="5" t="s">
        <v>1977</v>
      </c>
      <c r="F24" s="5" t="s">
        <v>1978</v>
      </c>
      <c r="G24" s="5" t="s">
        <v>128</v>
      </c>
      <c r="H24" s="5" t="s">
        <v>1863</v>
      </c>
    </row>
    <row r="25" customFormat="false" ht="57.75" hidden="false" customHeight="true" outlineLevel="0" collapsed="false">
      <c r="A25" s="4" t="s">
        <v>1979</v>
      </c>
      <c r="B25" s="4" t="s">
        <v>1980</v>
      </c>
      <c r="C25" s="4" t="s">
        <v>1981</v>
      </c>
      <c r="D25" s="4" t="s">
        <v>1982</v>
      </c>
      <c r="E25" s="4" t="s">
        <v>1983</v>
      </c>
      <c r="F25" s="4" t="s">
        <v>1984</v>
      </c>
      <c r="G25" s="4" t="s">
        <v>126</v>
      </c>
      <c r="H25" s="4" t="s">
        <v>1863</v>
      </c>
    </row>
    <row r="26" customFormat="false" ht="57.75" hidden="false" customHeight="true" outlineLevel="0" collapsed="false">
      <c r="A26" s="5" t="s">
        <v>1985</v>
      </c>
      <c r="B26" s="5" t="s">
        <v>1986</v>
      </c>
      <c r="C26" s="5" t="s">
        <v>1987</v>
      </c>
      <c r="D26" s="5" t="s">
        <v>1988</v>
      </c>
      <c r="E26" s="5" t="s">
        <v>1989</v>
      </c>
      <c r="F26" s="5" t="s">
        <v>1990</v>
      </c>
      <c r="G26" s="5" t="s">
        <v>126</v>
      </c>
      <c r="H26" s="5" t="s">
        <v>1991</v>
      </c>
    </row>
    <row r="27" customFormat="false" ht="57.75" hidden="false" customHeight="true" outlineLevel="0" collapsed="false">
      <c r="A27" s="4" t="s">
        <v>1992</v>
      </c>
      <c r="B27" s="4" t="s">
        <v>1993</v>
      </c>
      <c r="C27" s="4" t="s">
        <v>1994</v>
      </c>
      <c r="D27" s="4" t="s">
        <v>1995</v>
      </c>
      <c r="E27" s="4" t="s">
        <v>1996</v>
      </c>
      <c r="F27" s="4" t="s">
        <v>1997</v>
      </c>
      <c r="G27" s="4" t="s">
        <v>124</v>
      </c>
      <c r="H27" s="4" t="s">
        <v>1863</v>
      </c>
    </row>
    <row r="28" customFormat="false" ht="57.75" hidden="false" customHeight="true" outlineLevel="0" collapsed="false">
      <c r="A28" s="5" t="s">
        <v>1998</v>
      </c>
      <c r="B28" s="5" t="s">
        <v>1999</v>
      </c>
      <c r="C28" s="5" t="s">
        <v>2000</v>
      </c>
      <c r="D28" s="5" t="s">
        <v>2001</v>
      </c>
      <c r="E28" s="5" t="s">
        <v>2002</v>
      </c>
      <c r="F28" s="5" t="s">
        <v>2003</v>
      </c>
      <c r="G28" s="5" t="s">
        <v>126</v>
      </c>
      <c r="H28" s="5" t="s">
        <v>2004</v>
      </c>
    </row>
    <row r="29" customFormat="false" ht="57.75" hidden="false" customHeight="true" outlineLevel="0" collapsed="false">
      <c r="A29" s="4" t="s">
        <v>2005</v>
      </c>
      <c r="B29" s="4" t="s">
        <v>2006</v>
      </c>
      <c r="C29" s="4" t="s">
        <v>2007</v>
      </c>
      <c r="D29" s="4" t="s">
        <v>2008</v>
      </c>
      <c r="E29" s="4" t="s">
        <v>2009</v>
      </c>
      <c r="F29" s="4" t="s">
        <v>2010</v>
      </c>
      <c r="G29" s="4" t="s">
        <v>124</v>
      </c>
      <c r="H29" s="4" t="s">
        <v>1863</v>
      </c>
    </row>
    <row r="30" customFormat="false" ht="57.75" hidden="false" customHeight="true" outlineLevel="0" collapsed="false">
      <c r="A30" s="5" t="s">
        <v>2011</v>
      </c>
      <c r="B30" s="5" t="s">
        <v>2012</v>
      </c>
      <c r="C30" s="5" t="s">
        <v>2013</v>
      </c>
      <c r="D30" s="5" t="s">
        <v>2014</v>
      </c>
      <c r="E30" s="5" t="s">
        <v>2015</v>
      </c>
      <c r="F30" s="5" t="s">
        <v>2016</v>
      </c>
      <c r="G30" s="5" t="s">
        <v>124</v>
      </c>
      <c r="H30" s="5" t="s">
        <v>1863</v>
      </c>
    </row>
    <row r="31" customFormat="false" ht="57.75" hidden="false" customHeight="true" outlineLevel="0" collapsed="false">
      <c r="A31" s="4" t="s">
        <v>2017</v>
      </c>
      <c r="B31" s="4" t="s">
        <v>2018</v>
      </c>
      <c r="C31" s="4" t="s">
        <v>2019</v>
      </c>
      <c r="D31" s="4" t="s">
        <v>2020</v>
      </c>
      <c r="E31" s="4" t="s">
        <v>2021</v>
      </c>
      <c r="F31" s="4" t="s">
        <v>2022</v>
      </c>
      <c r="G31" s="4" t="s">
        <v>124</v>
      </c>
      <c r="H31" s="4" t="s">
        <v>1863</v>
      </c>
    </row>
    <row r="32" customFormat="false" ht="57.75" hidden="false" customHeight="true" outlineLevel="0" collapsed="false">
      <c r="A32" s="5" t="s">
        <v>2023</v>
      </c>
      <c r="B32" s="5" t="s">
        <v>2024</v>
      </c>
      <c r="C32" s="5" t="s">
        <v>2025</v>
      </c>
      <c r="D32" s="5" t="s">
        <v>2026</v>
      </c>
      <c r="E32" s="5" t="s">
        <v>2027</v>
      </c>
      <c r="F32" s="5" t="s">
        <v>2028</v>
      </c>
      <c r="G32" s="5" t="s">
        <v>124</v>
      </c>
      <c r="H32" s="5" t="s">
        <v>1863</v>
      </c>
    </row>
    <row r="33" customFormat="false" ht="57.75" hidden="false" customHeight="true" outlineLevel="0" collapsed="false">
      <c r="A33" s="4" t="s">
        <v>2029</v>
      </c>
      <c r="B33" s="4" t="s">
        <v>2030</v>
      </c>
      <c r="C33" s="4" t="s">
        <v>2031</v>
      </c>
      <c r="D33" s="4" t="s">
        <v>2032</v>
      </c>
      <c r="E33" s="4" t="s">
        <v>2033</v>
      </c>
      <c r="F33" s="4" t="s">
        <v>2034</v>
      </c>
      <c r="G33" s="4" t="s">
        <v>124</v>
      </c>
      <c r="H33" s="4" t="s">
        <v>1863</v>
      </c>
    </row>
    <row r="34" customFormat="false" ht="57.75" hidden="false" customHeight="true" outlineLevel="0" collapsed="false">
      <c r="A34" s="5" t="s">
        <v>2035</v>
      </c>
      <c r="B34" s="5" t="s">
        <v>2036</v>
      </c>
      <c r="C34" s="5" t="s">
        <v>2037</v>
      </c>
      <c r="D34" s="5" t="s">
        <v>2038</v>
      </c>
      <c r="E34" s="5" t="s">
        <v>2039</v>
      </c>
      <c r="F34" s="5" t="s">
        <v>2040</v>
      </c>
      <c r="G34" s="5" t="s">
        <v>124</v>
      </c>
      <c r="H34" s="5" t="s">
        <v>1863</v>
      </c>
    </row>
    <row r="35" customFormat="false" ht="57.75" hidden="false" customHeight="true" outlineLevel="0" collapsed="false">
      <c r="A35" s="4" t="s">
        <v>2041</v>
      </c>
      <c r="B35" s="4" t="s">
        <v>2042</v>
      </c>
      <c r="C35" s="4" t="s">
        <v>2043</v>
      </c>
      <c r="D35" s="4" t="s">
        <v>2044</v>
      </c>
      <c r="E35" s="4" t="s">
        <v>2045</v>
      </c>
      <c r="F35" s="4" t="s">
        <v>2046</v>
      </c>
      <c r="G35" s="4" t="s">
        <v>126</v>
      </c>
      <c r="H35" s="4" t="s">
        <v>1863</v>
      </c>
    </row>
    <row r="36" customFormat="false" ht="57.75" hidden="false" customHeight="true" outlineLevel="0" collapsed="false">
      <c r="A36" s="5" t="s">
        <v>2047</v>
      </c>
      <c r="B36" s="5" t="s">
        <v>2048</v>
      </c>
      <c r="C36" s="5" t="s">
        <v>2049</v>
      </c>
      <c r="D36" s="5" t="s">
        <v>2050</v>
      </c>
      <c r="E36" s="5" t="s">
        <v>2051</v>
      </c>
      <c r="F36" s="5" t="s">
        <v>2052</v>
      </c>
      <c r="G36" s="5" t="s">
        <v>126</v>
      </c>
      <c r="H36" s="5" t="s">
        <v>1863</v>
      </c>
    </row>
    <row r="37" customFormat="false" ht="57.75" hidden="false" customHeight="true" outlineLevel="0" collapsed="false">
      <c r="A37" s="4" t="s">
        <v>2053</v>
      </c>
      <c r="B37" s="4" t="s">
        <v>2054</v>
      </c>
      <c r="C37" s="4" t="s">
        <v>2055</v>
      </c>
      <c r="D37" s="4" t="s">
        <v>2056</v>
      </c>
      <c r="E37" s="4" t="s">
        <v>2057</v>
      </c>
      <c r="F37" s="4" t="s">
        <v>2058</v>
      </c>
      <c r="G37" s="4" t="s">
        <v>126</v>
      </c>
      <c r="H37" s="4" t="s">
        <v>1863</v>
      </c>
    </row>
    <row r="38" customFormat="false" ht="57.75" hidden="false" customHeight="true" outlineLevel="0" collapsed="false">
      <c r="A38" s="5" t="s">
        <v>2059</v>
      </c>
      <c r="B38" s="5" t="s">
        <v>2060</v>
      </c>
      <c r="C38" s="5" t="s">
        <v>2061</v>
      </c>
      <c r="D38" s="5" t="s">
        <v>2062</v>
      </c>
      <c r="E38" s="5" t="s">
        <v>2063</v>
      </c>
      <c r="F38" s="5" t="s">
        <v>2064</v>
      </c>
      <c r="G38" s="5" t="s">
        <v>124</v>
      </c>
      <c r="H38" s="5" t="s">
        <v>1863</v>
      </c>
    </row>
    <row r="39" customFormat="false" ht="57.75" hidden="false" customHeight="true" outlineLevel="0" collapsed="false">
      <c r="A39" s="4" t="s">
        <v>2065</v>
      </c>
      <c r="B39" s="4" t="s">
        <v>2066</v>
      </c>
      <c r="C39" s="4" t="s">
        <v>2067</v>
      </c>
      <c r="D39" s="4" t="s">
        <v>2068</v>
      </c>
      <c r="E39" s="4" t="s">
        <v>2069</v>
      </c>
      <c r="F39" s="4" t="s">
        <v>2070</v>
      </c>
      <c r="G39" s="4" t="s">
        <v>124</v>
      </c>
      <c r="H39" s="4" t="s">
        <v>1863</v>
      </c>
    </row>
    <row r="40" customFormat="false" ht="57.75" hidden="false" customHeight="true" outlineLevel="0" collapsed="false">
      <c r="A40" s="5" t="s">
        <v>2071</v>
      </c>
      <c r="B40" s="5" t="s">
        <v>2072</v>
      </c>
      <c r="C40" s="5" t="s">
        <v>2073</v>
      </c>
      <c r="D40" s="5" t="s">
        <v>2074</v>
      </c>
      <c r="E40" s="5" t="s">
        <v>2075</v>
      </c>
      <c r="F40" s="5" t="s">
        <v>2076</v>
      </c>
      <c r="G40" s="5" t="s">
        <v>124</v>
      </c>
      <c r="H40" s="5" t="s">
        <v>1863</v>
      </c>
    </row>
    <row r="41" customFormat="false" ht="57.75" hidden="false" customHeight="true" outlineLevel="0" collapsed="false">
      <c r="A41" s="4" t="s">
        <v>2077</v>
      </c>
      <c r="B41" s="4" t="s">
        <v>2078</v>
      </c>
      <c r="C41" s="4" t="s">
        <v>2079</v>
      </c>
      <c r="D41" s="4" t="s">
        <v>2080</v>
      </c>
      <c r="E41" s="4" t="s">
        <v>2081</v>
      </c>
      <c r="F41" s="4" t="s">
        <v>2082</v>
      </c>
      <c r="G41" s="4" t="s">
        <v>124</v>
      </c>
      <c r="H41" s="4" t="s">
        <v>1863</v>
      </c>
    </row>
    <row r="42" customFormat="false" ht="57.75" hidden="false" customHeight="true" outlineLevel="0" collapsed="false">
      <c r="A42" s="5" t="s">
        <v>2083</v>
      </c>
      <c r="B42" s="5" t="s">
        <v>2084</v>
      </c>
      <c r="C42" s="5" t="s">
        <v>2085</v>
      </c>
      <c r="D42" s="5" t="s">
        <v>2086</v>
      </c>
      <c r="E42" s="5" t="s">
        <v>2087</v>
      </c>
      <c r="F42" s="5" t="s">
        <v>2088</v>
      </c>
      <c r="G42" s="5" t="s">
        <v>124</v>
      </c>
      <c r="H42" s="5" t="s">
        <v>1863</v>
      </c>
    </row>
    <row r="43" customFormat="false" ht="57.75" hidden="false" customHeight="true" outlineLevel="0" collapsed="false">
      <c r="A43" s="4" t="s">
        <v>2089</v>
      </c>
      <c r="B43" s="4" t="s">
        <v>2090</v>
      </c>
      <c r="C43" s="4" t="s">
        <v>2091</v>
      </c>
      <c r="D43" s="4" t="s">
        <v>2092</v>
      </c>
      <c r="E43" s="4" t="s">
        <v>2093</v>
      </c>
      <c r="F43" s="4" t="s">
        <v>2094</v>
      </c>
      <c r="G43" s="4" t="s">
        <v>126</v>
      </c>
      <c r="H43" s="4" t="s">
        <v>1863</v>
      </c>
    </row>
    <row r="44" customFormat="false" ht="57.75" hidden="false" customHeight="true" outlineLevel="0" collapsed="false">
      <c r="A44" s="5" t="s">
        <v>2095</v>
      </c>
      <c r="B44" s="5" t="s">
        <v>2096</v>
      </c>
      <c r="C44" s="5" t="s">
        <v>2097</v>
      </c>
      <c r="D44" s="5" t="s">
        <v>2098</v>
      </c>
      <c r="E44" s="5" t="s">
        <v>2099</v>
      </c>
      <c r="F44" s="5" t="s">
        <v>2100</v>
      </c>
      <c r="G44" s="5" t="s">
        <v>124</v>
      </c>
      <c r="H44" s="5" t="s">
        <v>1863</v>
      </c>
    </row>
    <row r="45" customFormat="false" ht="57.75" hidden="false" customHeight="true" outlineLevel="0" collapsed="false">
      <c r="A45" s="4" t="s">
        <v>2101</v>
      </c>
      <c r="B45" s="4" t="s">
        <v>2102</v>
      </c>
      <c r="C45" s="4" t="s">
        <v>2103</v>
      </c>
      <c r="D45" s="4" t="s">
        <v>2104</v>
      </c>
      <c r="E45" s="4" t="s">
        <v>2105</v>
      </c>
      <c r="F45" s="4" t="s">
        <v>2106</v>
      </c>
      <c r="G45" s="4" t="s">
        <v>124</v>
      </c>
      <c r="H45" s="4" t="s">
        <v>1863</v>
      </c>
    </row>
    <row r="46" customFormat="false" ht="57.75" hidden="false" customHeight="true" outlineLevel="0" collapsed="false">
      <c r="A46" s="5" t="s">
        <v>2107</v>
      </c>
      <c r="B46" s="5" t="s">
        <v>2108</v>
      </c>
      <c r="C46" s="5" t="s">
        <v>2109</v>
      </c>
      <c r="D46" s="5" t="s">
        <v>2110</v>
      </c>
      <c r="E46" s="5" t="s">
        <v>2111</v>
      </c>
      <c r="F46" s="5" t="s">
        <v>2112</v>
      </c>
      <c r="G46" s="5" t="s">
        <v>126</v>
      </c>
      <c r="H46" s="5" t="s">
        <v>1863</v>
      </c>
    </row>
    <row r="47" customFormat="false" ht="57.75" hidden="false" customHeight="true" outlineLevel="0" collapsed="false">
      <c r="A47" s="4" t="s">
        <v>2113</v>
      </c>
      <c r="B47" s="4" t="s">
        <v>2114</v>
      </c>
      <c r="C47" s="4" t="s">
        <v>2115</v>
      </c>
      <c r="D47" s="4" t="s">
        <v>2116</v>
      </c>
      <c r="E47" s="4" t="s">
        <v>2117</v>
      </c>
      <c r="F47" s="4" t="s">
        <v>2118</v>
      </c>
      <c r="G47" s="4" t="s">
        <v>126</v>
      </c>
      <c r="H47" s="4" t="s">
        <v>1863</v>
      </c>
    </row>
    <row r="48" customFormat="false" ht="57.75" hidden="false" customHeight="true" outlineLevel="0" collapsed="false">
      <c r="A48" s="5" t="s">
        <v>2119</v>
      </c>
      <c r="B48" s="5" t="s">
        <v>2120</v>
      </c>
      <c r="C48" s="5" t="s">
        <v>2121</v>
      </c>
      <c r="D48" s="5" t="s">
        <v>2122</v>
      </c>
      <c r="E48" s="5" t="s">
        <v>2123</v>
      </c>
      <c r="F48" s="5" t="s">
        <v>2124</v>
      </c>
      <c r="G48" s="5" t="s">
        <v>124</v>
      </c>
      <c r="H48" s="5" t="s">
        <v>1863</v>
      </c>
    </row>
    <row r="49" customFormat="false" ht="57.75" hidden="false" customHeight="true" outlineLevel="0" collapsed="false">
      <c r="A49" s="4" t="s">
        <v>2125</v>
      </c>
      <c r="B49" s="4" t="s">
        <v>2126</v>
      </c>
      <c r="C49" s="4" t="s">
        <v>2127</v>
      </c>
      <c r="D49" s="4" t="s">
        <v>2128</v>
      </c>
      <c r="E49" s="4" t="s">
        <v>2129</v>
      </c>
      <c r="F49" s="4" t="s">
        <v>2130</v>
      </c>
      <c r="G49" s="4" t="s">
        <v>124</v>
      </c>
      <c r="H49" s="4" t="s">
        <v>1863</v>
      </c>
    </row>
    <row r="50" customFormat="false" ht="57.75" hidden="false" customHeight="true" outlineLevel="0" collapsed="false">
      <c r="A50" s="5" t="s">
        <v>2131</v>
      </c>
      <c r="B50" s="5" t="s">
        <v>2132</v>
      </c>
      <c r="C50" s="5" t="s">
        <v>2133</v>
      </c>
      <c r="D50" s="5" t="s">
        <v>2134</v>
      </c>
      <c r="E50" s="5" t="s">
        <v>2135</v>
      </c>
      <c r="F50" s="5" t="s">
        <v>2136</v>
      </c>
      <c r="G50" s="5" t="s">
        <v>124</v>
      </c>
      <c r="H50" s="5" t="s">
        <v>1863</v>
      </c>
    </row>
    <row r="51" customFormat="false" ht="57.75" hidden="false" customHeight="true" outlineLevel="0" collapsed="false">
      <c r="A51" s="4" t="s">
        <v>2137</v>
      </c>
      <c r="B51" s="4" t="s">
        <v>2138</v>
      </c>
      <c r="C51" s="4" t="s">
        <v>2139</v>
      </c>
      <c r="D51" s="4" t="s">
        <v>2140</v>
      </c>
      <c r="E51" s="4" t="s">
        <v>2141</v>
      </c>
      <c r="F51" s="4" t="s">
        <v>2142</v>
      </c>
      <c r="G51" s="4" t="s">
        <v>124</v>
      </c>
      <c r="H51" s="4" t="s">
        <v>1863</v>
      </c>
    </row>
    <row r="52" customFormat="false" ht="57.75" hidden="false" customHeight="true" outlineLevel="0" collapsed="false">
      <c r="A52" s="5" t="s">
        <v>2143</v>
      </c>
      <c r="B52" s="5" t="s">
        <v>2144</v>
      </c>
      <c r="C52" s="5" t="s">
        <v>2145</v>
      </c>
      <c r="D52" s="5" t="s">
        <v>2146</v>
      </c>
      <c r="E52" s="5" t="s">
        <v>2147</v>
      </c>
      <c r="F52" s="5" t="s">
        <v>2148</v>
      </c>
      <c r="G52" s="5" t="s">
        <v>126</v>
      </c>
      <c r="H52" s="5" t="s">
        <v>2149</v>
      </c>
    </row>
    <row r="53" customFormat="false" ht="57.75" hidden="false" customHeight="true" outlineLevel="0" collapsed="false">
      <c r="A53" s="4" t="s">
        <v>2150</v>
      </c>
      <c r="B53" s="4" t="s">
        <v>2151</v>
      </c>
      <c r="C53" s="4" t="s">
        <v>2152</v>
      </c>
      <c r="D53" s="4" t="s">
        <v>2153</v>
      </c>
      <c r="E53" s="4" t="s">
        <v>2154</v>
      </c>
      <c r="F53" s="4" t="s">
        <v>2155</v>
      </c>
      <c r="G53" s="4" t="s">
        <v>124</v>
      </c>
      <c r="H53" s="4" t="s">
        <v>2156</v>
      </c>
    </row>
    <row r="54" customFormat="false" ht="57.75" hidden="false" customHeight="true" outlineLevel="0" collapsed="false">
      <c r="A54" s="5" t="s">
        <v>2157</v>
      </c>
      <c r="B54" s="5" t="s">
        <v>2158</v>
      </c>
      <c r="C54" s="5" t="s">
        <v>2159</v>
      </c>
      <c r="D54" s="5" t="s">
        <v>2160</v>
      </c>
      <c r="E54" s="5" t="s">
        <v>2161</v>
      </c>
      <c r="F54" s="5" t="s">
        <v>2162</v>
      </c>
      <c r="G54" s="5" t="s">
        <v>126</v>
      </c>
      <c r="H54" s="5" t="s">
        <v>2163</v>
      </c>
    </row>
    <row r="55" customFormat="false" ht="57.75" hidden="false" customHeight="true" outlineLevel="0" collapsed="false">
      <c r="A55" s="4" t="s">
        <v>2164</v>
      </c>
      <c r="B55" s="4" t="s">
        <v>2165</v>
      </c>
      <c r="C55" s="4" t="s">
        <v>2166</v>
      </c>
      <c r="D55" s="4" t="s">
        <v>2167</v>
      </c>
      <c r="E55" s="4" t="s">
        <v>2168</v>
      </c>
      <c r="F55" s="4" t="s">
        <v>2169</v>
      </c>
      <c r="G55" s="4" t="s">
        <v>124</v>
      </c>
      <c r="H55" s="4" t="s">
        <v>2170</v>
      </c>
    </row>
    <row r="56" customFormat="false" ht="57.75" hidden="false" customHeight="true" outlineLevel="0" collapsed="false">
      <c r="A56" s="5" t="s">
        <v>2171</v>
      </c>
      <c r="B56" s="5" t="s">
        <v>2172</v>
      </c>
      <c r="C56" s="5" t="s">
        <v>2173</v>
      </c>
      <c r="D56" s="5" t="s">
        <v>2174</v>
      </c>
      <c r="E56" s="5" t="s">
        <v>2175</v>
      </c>
      <c r="F56" s="5" t="s">
        <v>2176</v>
      </c>
      <c r="G56" s="5" t="s">
        <v>124</v>
      </c>
      <c r="H56" s="5" t="s">
        <v>1863</v>
      </c>
    </row>
    <row r="57" customFormat="false" ht="57.75" hidden="false" customHeight="true" outlineLevel="0" collapsed="false">
      <c r="A57" s="4" t="s">
        <v>2177</v>
      </c>
      <c r="B57" s="4" t="s">
        <v>2178</v>
      </c>
      <c r="C57" s="4" t="s">
        <v>2179</v>
      </c>
      <c r="D57" s="4" t="s">
        <v>2180</v>
      </c>
      <c r="E57" s="4" t="s">
        <v>2181</v>
      </c>
      <c r="F57" s="4" t="s">
        <v>2182</v>
      </c>
      <c r="G57" s="4" t="s">
        <v>126</v>
      </c>
      <c r="H57" s="4" t="s">
        <v>1863</v>
      </c>
    </row>
    <row r="58" customFormat="false" ht="57.75" hidden="false" customHeight="true" outlineLevel="0" collapsed="false">
      <c r="A58" s="5" t="s">
        <v>2183</v>
      </c>
      <c r="B58" s="5" t="s">
        <v>2184</v>
      </c>
      <c r="C58" s="5" t="s">
        <v>2185</v>
      </c>
      <c r="D58" s="5" t="s">
        <v>2186</v>
      </c>
      <c r="E58" s="5" t="s">
        <v>2187</v>
      </c>
      <c r="F58" s="5" t="s">
        <v>2188</v>
      </c>
      <c r="G58" s="5" t="s">
        <v>124</v>
      </c>
      <c r="H58" s="5" t="s">
        <v>1863</v>
      </c>
    </row>
    <row r="59" customFormat="false" ht="57.75" hidden="false" customHeight="true" outlineLevel="0" collapsed="false">
      <c r="A59" s="4" t="s">
        <v>2189</v>
      </c>
      <c r="B59" s="4" t="s">
        <v>2190</v>
      </c>
      <c r="C59" s="4" t="s">
        <v>2191</v>
      </c>
      <c r="D59" s="4" t="s">
        <v>2192</v>
      </c>
      <c r="E59" s="4" t="s">
        <v>2193</v>
      </c>
      <c r="F59" s="4" t="s">
        <v>2194</v>
      </c>
      <c r="G59" s="4" t="s">
        <v>126</v>
      </c>
      <c r="H59" s="4" t="s">
        <v>1863</v>
      </c>
    </row>
    <row r="60" customFormat="false" ht="57.75" hidden="false" customHeight="true" outlineLevel="0" collapsed="false">
      <c r="A60" s="5" t="s">
        <v>2195</v>
      </c>
      <c r="B60" s="5" t="s">
        <v>2196</v>
      </c>
      <c r="C60" s="5" t="s">
        <v>2197</v>
      </c>
      <c r="D60" s="5" t="s">
        <v>2198</v>
      </c>
      <c r="E60" s="5" t="s">
        <v>2199</v>
      </c>
      <c r="F60" s="5" t="s">
        <v>2200</v>
      </c>
      <c r="G60" s="5" t="s">
        <v>124</v>
      </c>
      <c r="H60" s="5" t="s">
        <v>1863</v>
      </c>
    </row>
    <row r="61" customFormat="false" ht="57.75" hidden="false" customHeight="true" outlineLevel="0" collapsed="false">
      <c r="A61" s="4" t="s">
        <v>2201</v>
      </c>
      <c r="B61" s="4" t="s">
        <v>2202</v>
      </c>
      <c r="C61" s="4" t="s">
        <v>2203</v>
      </c>
      <c r="D61" s="4" t="s">
        <v>2204</v>
      </c>
      <c r="E61" s="4" t="s">
        <v>2205</v>
      </c>
      <c r="F61" s="4" t="s">
        <v>2206</v>
      </c>
      <c r="G61" s="4" t="s">
        <v>128</v>
      </c>
      <c r="H61" s="4" t="s">
        <v>1863</v>
      </c>
    </row>
    <row r="62" customFormat="false" ht="57.75" hidden="false" customHeight="true" outlineLevel="0" collapsed="false">
      <c r="A62" s="5" t="s">
        <v>2207</v>
      </c>
      <c r="B62" s="5" t="s">
        <v>2208</v>
      </c>
      <c r="C62" s="5" t="s">
        <v>2209</v>
      </c>
      <c r="D62" s="5" t="s">
        <v>2210</v>
      </c>
      <c r="E62" s="5" t="s">
        <v>2211</v>
      </c>
      <c r="F62" s="5" t="s">
        <v>2212</v>
      </c>
      <c r="G62" s="5" t="s">
        <v>124</v>
      </c>
      <c r="H62" s="5" t="s">
        <v>1863</v>
      </c>
    </row>
    <row r="63" customFormat="false" ht="57.75" hidden="false" customHeight="true" outlineLevel="0" collapsed="false">
      <c r="A63" s="4" t="s">
        <v>2213</v>
      </c>
      <c r="B63" s="4" t="s">
        <v>2214</v>
      </c>
      <c r="C63" s="4" t="s">
        <v>2215</v>
      </c>
      <c r="D63" s="4" t="s">
        <v>2216</v>
      </c>
      <c r="E63" s="4" t="s">
        <v>2217</v>
      </c>
      <c r="F63" s="4" t="s">
        <v>2218</v>
      </c>
      <c r="G63" s="4" t="s">
        <v>124</v>
      </c>
      <c r="H63" s="4" t="s">
        <v>1863</v>
      </c>
    </row>
    <row r="64" customFormat="false" ht="57.75" hidden="false" customHeight="true" outlineLevel="0" collapsed="false">
      <c r="A64" s="5" t="s">
        <v>2219</v>
      </c>
      <c r="B64" s="5" t="s">
        <v>2220</v>
      </c>
      <c r="C64" s="5" t="s">
        <v>2221</v>
      </c>
      <c r="D64" s="5" t="s">
        <v>2222</v>
      </c>
      <c r="E64" s="5" t="s">
        <v>2223</v>
      </c>
      <c r="F64" s="5" t="s">
        <v>2224</v>
      </c>
      <c r="G64" s="5" t="s">
        <v>124</v>
      </c>
      <c r="H64" s="5" t="s">
        <v>1863</v>
      </c>
    </row>
    <row r="65" customFormat="false" ht="57.75" hidden="false" customHeight="true" outlineLevel="0" collapsed="false">
      <c r="A65" s="4" t="s">
        <v>2225</v>
      </c>
      <c r="B65" s="4" t="s">
        <v>2226</v>
      </c>
      <c r="C65" s="4" t="s">
        <v>2227</v>
      </c>
      <c r="D65" s="4" t="s">
        <v>2228</v>
      </c>
      <c r="E65" s="4" t="s">
        <v>2229</v>
      </c>
      <c r="F65" s="4" t="s">
        <v>2230</v>
      </c>
      <c r="G65" s="4" t="s">
        <v>124</v>
      </c>
      <c r="H65" s="4" t="s">
        <v>1863</v>
      </c>
    </row>
    <row r="66" customFormat="false" ht="57.75" hidden="false" customHeight="true" outlineLevel="0" collapsed="false">
      <c r="A66" s="5" t="s">
        <v>2231</v>
      </c>
      <c r="B66" s="5" t="s">
        <v>2232</v>
      </c>
      <c r="C66" s="5" t="s">
        <v>2233</v>
      </c>
      <c r="D66" s="5" t="s">
        <v>2234</v>
      </c>
      <c r="E66" s="5" t="s">
        <v>2235</v>
      </c>
      <c r="F66" s="5" t="s">
        <v>2236</v>
      </c>
      <c r="G66" s="5" t="s">
        <v>128</v>
      </c>
      <c r="H66" s="5" t="s">
        <v>1863</v>
      </c>
    </row>
    <row r="67" customFormat="false" ht="57.75" hidden="false" customHeight="true" outlineLevel="0" collapsed="false">
      <c r="A67" s="4" t="s">
        <v>2237</v>
      </c>
      <c r="B67" s="4" t="s">
        <v>2238</v>
      </c>
      <c r="C67" s="4" t="s">
        <v>2239</v>
      </c>
      <c r="D67" s="4" t="s">
        <v>2240</v>
      </c>
      <c r="E67" s="4" t="s">
        <v>2241</v>
      </c>
      <c r="F67" s="4" t="s">
        <v>2242</v>
      </c>
      <c r="G67" s="4" t="s">
        <v>124</v>
      </c>
      <c r="H67" s="4" t="s">
        <v>1863</v>
      </c>
    </row>
    <row r="68" customFormat="false" ht="57.75" hidden="false" customHeight="true" outlineLevel="0" collapsed="false">
      <c r="A68" s="5" t="s">
        <v>2243</v>
      </c>
      <c r="B68" s="5" t="s">
        <v>2244</v>
      </c>
      <c r="C68" s="5" t="s">
        <v>2245</v>
      </c>
      <c r="D68" s="5" t="s">
        <v>2246</v>
      </c>
      <c r="E68" s="5" t="s">
        <v>2247</v>
      </c>
      <c r="F68" s="5" t="s">
        <v>2248</v>
      </c>
      <c r="G68" s="5" t="s">
        <v>124</v>
      </c>
      <c r="H68" s="5" t="s">
        <v>1863</v>
      </c>
    </row>
    <row r="69" customFormat="false" ht="57.75" hidden="false" customHeight="true" outlineLevel="0" collapsed="false">
      <c r="A69" s="4" t="s">
        <v>2249</v>
      </c>
      <c r="B69" s="4" t="s">
        <v>2250</v>
      </c>
      <c r="C69" s="4" t="s">
        <v>2251</v>
      </c>
      <c r="D69" s="4" t="s">
        <v>2252</v>
      </c>
      <c r="E69" s="4" t="s">
        <v>2253</v>
      </c>
      <c r="F69" s="4" t="s">
        <v>2254</v>
      </c>
      <c r="G69" s="4" t="s">
        <v>126</v>
      </c>
      <c r="H69" s="4" t="s">
        <v>1863</v>
      </c>
    </row>
    <row r="70" customFormat="false" ht="57.75" hidden="false" customHeight="true" outlineLevel="0" collapsed="false">
      <c r="A70" s="5" t="s">
        <v>2255</v>
      </c>
      <c r="B70" s="5" t="s">
        <v>2256</v>
      </c>
      <c r="C70" s="5" t="s">
        <v>2257</v>
      </c>
      <c r="D70" s="5" t="s">
        <v>2258</v>
      </c>
      <c r="E70" s="5" t="s">
        <v>2259</v>
      </c>
      <c r="F70" s="5" t="s">
        <v>2260</v>
      </c>
      <c r="G70" s="5" t="s">
        <v>124</v>
      </c>
      <c r="H70" s="5" t="s">
        <v>1863</v>
      </c>
    </row>
    <row r="71" customFormat="false" ht="57.75" hidden="false" customHeight="true" outlineLevel="0" collapsed="false">
      <c r="A71" s="4" t="s">
        <v>2261</v>
      </c>
      <c r="B71" s="4" t="s">
        <v>2262</v>
      </c>
      <c r="C71" s="4" t="s">
        <v>2263</v>
      </c>
      <c r="D71" s="4" t="s">
        <v>2264</v>
      </c>
      <c r="E71" s="4" t="s">
        <v>2265</v>
      </c>
      <c r="F71" s="4" t="s">
        <v>2266</v>
      </c>
      <c r="G71" s="4" t="s">
        <v>124</v>
      </c>
      <c r="H71" s="4" t="s">
        <v>1863</v>
      </c>
    </row>
    <row r="72" customFormat="false" ht="57.75" hidden="false" customHeight="true" outlineLevel="0" collapsed="false">
      <c r="A72" s="5" t="s">
        <v>2267</v>
      </c>
      <c r="B72" s="5" t="s">
        <v>2268</v>
      </c>
      <c r="C72" s="5" t="s">
        <v>2269</v>
      </c>
      <c r="D72" s="5" t="s">
        <v>2270</v>
      </c>
      <c r="E72" s="5" t="s">
        <v>2271</v>
      </c>
      <c r="F72" s="5" t="s">
        <v>2272</v>
      </c>
      <c r="G72" s="5" t="s">
        <v>126</v>
      </c>
      <c r="H72" s="5" t="s">
        <v>1863</v>
      </c>
    </row>
    <row r="73" customFormat="false" ht="57.75" hidden="false" customHeight="true" outlineLevel="0" collapsed="false">
      <c r="A73" s="4" t="s">
        <v>2273</v>
      </c>
      <c r="B73" s="4" t="s">
        <v>2274</v>
      </c>
      <c r="C73" s="4" t="s">
        <v>2275</v>
      </c>
      <c r="D73" s="4" t="s">
        <v>2276</v>
      </c>
      <c r="E73" s="4" t="s">
        <v>2277</v>
      </c>
      <c r="F73" s="4" t="s">
        <v>2278</v>
      </c>
      <c r="G73" s="4" t="s">
        <v>126</v>
      </c>
      <c r="H73" s="4" t="s">
        <v>1863</v>
      </c>
    </row>
    <row r="74" customFormat="false" ht="57.75" hidden="false" customHeight="true" outlineLevel="0" collapsed="false">
      <c r="A74" s="5" t="s">
        <v>2279</v>
      </c>
      <c r="B74" s="5" t="s">
        <v>2280</v>
      </c>
      <c r="C74" s="5" t="s">
        <v>2281</v>
      </c>
      <c r="D74" s="5" t="s">
        <v>2282</v>
      </c>
      <c r="E74" s="5" t="s">
        <v>2283</v>
      </c>
      <c r="F74" s="5" t="s">
        <v>2284</v>
      </c>
      <c r="G74" s="5" t="s">
        <v>128</v>
      </c>
      <c r="H74" s="5" t="s">
        <v>1863</v>
      </c>
    </row>
  </sheetData>
  <autoFilter ref="A4:H4"/>
  <conditionalFormatting sqref="G5:G74">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2285</v>
      </c>
    </row>
    <row r="2" customFormat="false" ht="15" hidden="false" customHeight="false" outlineLevel="0" collapsed="false">
      <c r="A2" s="2" t="s">
        <v>2286</v>
      </c>
    </row>
    <row r="4" customFormat="false" ht="30" hidden="false" customHeight="true" outlineLevel="0" collapsed="false">
      <c r="A4" s="3" t="s">
        <v>608</v>
      </c>
      <c r="B4" s="3" t="s">
        <v>609</v>
      </c>
      <c r="C4" s="3" t="s">
        <v>860</v>
      </c>
      <c r="D4" s="3" t="s">
        <v>611</v>
      </c>
      <c r="E4" s="3" t="s">
        <v>612</v>
      </c>
      <c r="F4" s="3" t="s">
        <v>613</v>
      </c>
      <c r="G4" s="3" t="s">
        <v>2287</v>
      </c>
      <c r="H4" s="3" t="s">
        <v>2288</v>
      </c>
      <c r="I4" s="3" t="s">
        <v>615</v>
      </c>
      <c r="J4" s="3" t="s">
        <v>2289</v>
      </c>
    </row>
    <row r="5" customFormat="false" ht="43.5" hidden="false" customHeight="true" outlineLevel="0" collapsed="false">
      <c r="A5" s="4" t="s">
        <v>616</v>
      </c>
      <c r="B5" s="4" t="s">
        <v>617</v>
      </c>
      <c r="C5" s="4" t="s">
        <v>618</v>
      </c>
      <c r="D5" s="4" t="s">
        <v>619</v>
      </c>
      <c r="E5" s="4" t="s">
        <v>619</v>
      </c>
      <c r="F5" s="4" t="s">
        <v>620</v>
      </c>
      <c r="G5" s="4" t="s">
        <v>2290</v>
      </c>
      <c r="H5" s="24" t="s">
        <v>2291</v>
      </c>
      <c r="I5" s="4" t="s">
        <v>622</v>
      </c>
      <c r="J5" s="4" t="s">
        <v>2292</v>
      </c>
    </row>
    <row r="6" customFormat="false" ht="43.5" hidden="false" customHeight="true" outlineLevel="0" collapsed="false">
      <c r="A6" s="5" t="s">
        <v>623</v>
      </c>
      <c r="B6" s="5" t="s">
        <v>624</v>
      </c>
      <c r="C6" s="5" t="s">
        <v>625</v>
      </c>
      <c r="D6" s="5" t="s">
        <v>626</v>
      </c>
      <c r="E6" s="5" t="s">
        <v>627</v>
      </c>
      <c r="F6" s="5" t="s">
        <v>628</v>
      </c>
      <c r="G6" s="5" t="s">
        <v>2293</v>
      </c>
      <c r="H6" s="25" t="s">
        <v>2294</v>
      </c>
      <c r="I6" s="5" t="s">
        <v>622</v>
      </c>
      <c r="J6" s="5" t="s">
        <v>2292</v>
      </c>
    </row>
    <row r="7" customFormat="false" ht="43.5" hidden="false" customHeight="true" outlineLevel="0" collapsed="false">
      <c r="A7" s="4" t="s">
        <v>630</v>
      </c>
      <c r="B7" s="4" t="s">
        <v>617</v>
      </c>
      <c r="C7" s="4" t="s">
        <v>631</v>
      </c>
      <c r="D7" s="4" t="s">
        <v>632</v>
      </c>
      <c r="E7" s="4" t="s">
        <v>633</v>
      </c>
      <c r="F7" s="4" t="s">
        <v>634</v>
      </c>
      <c r="G7" s="4" t="s">
        <v>2295</v>
      </c>
      <c r="H7" s="24" t="s">
        <v>2296</v>
      </c>
      <c r="I7" s="4" t="s">
        <v>622</v>
      </c>
      <c r="J7" s="4" t="s">
        <v>2292</v>
      </c>
    </row>
    <row r="8" customFormat="false" ht="43.5" hidden="false" customHeight="true" outlineLevel="0" collapsed="false">
      <c r="A8" s="5" t="s">
        <v>636</v>
      </c>
      <c r="B8" s="5" t="s">
        <v>637</v>
      </c>
      <c r="C8" s="5" t="s">
        <v>638</v>
      </c>
      <c r="D8" s="5" t="s">
        <v>639</v>
      </c>
      <c r="E8" s="5" t="s">
        <v>640</v>
      </c>
      <c r="F8" s="5" t="s">
        <v>641</v>
      </c>
      <c r="G8" s="5" t="s">
        <v>2297</v>
      </c>
      <c r="H8" s="25" t="s">
        <v>2298</v>
      </c>
      <c r="I8" s="5" t="s">
        <v>622</v>
      </c>
      <c r="J8" s="5" t="s">
        <v>2292</v>
      </c>
    </row>
    <row r="9" customFormat="false" ht="43.5" hidden="false" customHeight="true" outlineLevel="0" collapsed="false">
      <c r="A9" s="4" t="s">
        <v>643</v>
      </c>
      <c r="B9" s="4" t="s">
        <v>637</v>
      </c>
      <c r="C9" s="4" t="s">
        <v>644</v>
      </c>
      <c r="D9" s="4" t="s">
        <v>645</v>
      </c>
      <c r="E9" s="4" t="s">
        <v>646</v>
      </c>
      <c r="F9" s="4" t="s">
        <v>647</v>
      </c>
      <c r="G9" s="4" t="s">
        <v>2299</v>
      </c>
      <c r="H9" s="24" t="s">
        <v>2300</v>
      </c>
      <c r="I9" s="4" t="s">
        <v>649</v>
      </c>
      <c r="J9" s="4" t="s">
        <v>2292</v>
      </c>
    </row>
    <row r="10" customFormat="false" ht="43.5" hidden="false" customHeight="true" outlineLevel="0" collapsed="false">
      <c r="A10" s="5" t="s">
        <v>650</v>
      </c>
      <c r="B10" s="5" t="s">
        <v>195</v>
      </c>
      <c r="C10" s="5" t="s">
        <v>651</v>
      </c>
      <c r="D10" s="5" t="s">
        <v>652</v>
      </c>
      <c r="E10" s="5" t="s">
        <v>653</v>
      </c>
      <c r="F10" s="5" t="s">
        <v>654</v>
      </c>
      <c r="G10" s="5" t="s">
        <v>2301</v>
      </c>
      <c r="H10" s="25" t="s">
        <v>2302</v>
      </c>
      <c r="I10" s="5" t="s">
        <v>622</v>
      </c>
      <c r="J10" s="5" t="s">
        <v>2292</v>
      </c>
    </row>
    <row r="11" customFormat="false" ht="43.5" hidden="false" customHeight="true" outlineLevel="0" collapsed="false">
      <c r="A11" s="4" t="s">
        <v>656</v>
      </c>
      <c r="B11" s="4" t="s">
        <v>195</v>
      </c>
      <c r="C11" s="4" t="s">
        <v>657</v>
      </c>
      <c r="D11" s="4" t="s">
        <v>658</v>
      </c>
      <c r="E11" s="4" t="s">
        <v>653</v>
      </c>
      <c r="F11" s="4" t="s">
        <v>659</v>
      </c>
      <c r="G11" s="4" t="s">
        <v>2303</v>
      </c>
      <c r="H11" s="24" t="s">
        <v>2302</v>
      </c>
      <c r="I11" s="4" t="s">
        <v>622</v>
      </c>
      <c r="J11" s="4" t="s">
        <v>2292</v>
      </c>
    </row>
    <row r="12" customFormat="false" ht="43.5" hidden="false" customHeight="true" outlineLevel="0" collapsed="false">
      <c r="A12" s="5" t="s">
        <v>661</v>
      </c>
      <c r="B12" s="5" t="s">
        <v>195</v>
      </c>
      <c r="C12" s="5" t="s">
        <v>662</v>
      </c>
      <c r="D12" s="5" t="s">
        <v>663</v>
      </c>
      <c r="E12" s="5" t="s">
        <v>664</v>
      </c>
      <c r="F12" s="5" t="s">
        <v>665</v>
      </c>
      <c r="G12" s="5" t="s">
        <v>2304</v>
      </c>
      <c r="H12" s="25" t="s">
        <v>2305</v>
      </c>
      <c r="I12" s="5" t="s">
        <v>622</v>
      </c>
      <c r="J12" s="5" t="s">
        <v>2292</v>
      </c>
    </row>
    <row r="13" customFormat="false" ht="43.5" hidden="false" customHeight="true" outlineLevel="0" collapsed="false">
      <c r="A13" s="4" t="s">
        <v>667</v>
      </c>
      <c r="B13" s="4" t="s">
        <v>192</v>
      </c>
      <c r="C13" s="4" t="s">
        <v>668</v>
      </c>
      <c r="D13" s="4" t="s">
        <v>669</v>
      </c>
      <c r="E13" s="4" t="s">
        <v>670</v>
      </c>
      <c r="F13" s="4" t="s">
        <v>671</v>
      </c>
      <c r="G13" s="4" t="s">
        <v>2306</v>
      </c>
      <c r="H13" s="24" t="s">
        <v>2307</v>
      </c>
      <c r="I13" s="4" t="s">
        <v>622</v>
      </c>
      <c r="J13" s="4" t="s">
        <v>2292</v>
      </c>
    </row>
    <row r="14" customFormat="false" ht="43.5" hidden="false" customHeight="true" outlineLevel="0" collapsed="false">
      <c r="A14" s="5" t="s">
        <v>673</v>
      </c>
      <c r="B14" s="5" t="s">
        <v>192</v>
      </c>
      <c r="C14" s="5" t="s">
        <v>674</v>
      </c>
      <c r="D14" s="5" t="s">
        <v>675</v>
      </c>
      <c r="E14" s="5" t="s">
        <v>640</v>
      </c>
      <c r="F14" s="5" t="s">
        <v>676</v>
      </c>
      <c r="G14" s="5" t="s">
        <v>2308</v>
      </c>
      <c r="H14" s="25" t="s">
        <v>2309</v>
      </c>
      <c r="I14" s="5" t="s">
        <v>622</v>
      </c>
      <c r="J14" s="5" t="s">
        <v>2292</v>
      </c>
    </row>
    <row r="15" customFormat="false" ht="43.5" hidden="false" customHeight="true" outlineLevel="0" collapsed="false">
      <c r="A15" s="4" t="s">
        <v>678</v>
      </c>
      <c r="B15" s="4" t="s">
        <v>192</v>
      </c>
      <c r="C15" s="4" t="s">
        <v>679</v>
      </c>
      <c r="D15" s="4" t="s">
        <v>680</v>
      </c>
      <c r="E15" s="4" t="s">
        <v>681</v>
      </c>
      <c r="F15" s="4" t="s">
        <v>682</v>
      </c>
      <c r="G15" s="4" t="s">
        <v>2310</v>
      </c>
      <c r="H15" s="24" t="s">
        <v>2311</v>
      </c>
      <c r="I15" s="4" t="s">
        <v>622</v>
      </c>
      <c r="J15" s="4" t="s">
        <v>2292</v>
      </c>
    </row>
    <row r="16" customFormat="false" ht="43.5" hidden="false" customHeight="true" outlineLevel="0" collapsed="false">
      <c r="A16" s="5" t="s">
        <v>684</v>
      </c>
      <c r="B16" s="5" t="s">
        <v>219</v>
      </c>
      <c r="C16" s="5" t="s">
        <v>685</v>
      </c>
      <c r="D16" s="5" t="s">
        <v>686</v>
      </c>
      <c r="E16" s="5" t="s">
        <v>687</v>
      </c>
      <c r="F16" s="5" t="s">
        <v>688</v>
      </c>
      <c r="G16" s="5" t="s">
        <v>2312</v>
      </c>
      <c r="H16" s="25" t="s">
        <v>2313</v>
      </c>
      <c r="I16" s="5" t="s">
        <v>622</v>
      </c>
      <c r="J16" s="5" t="s">
        <v>2292</v>
      </c>
    </row>
    <row r="17" customFormat="false" ht="43.5" hidden="false" customHeight="true" outlineLevel="0" collapsed="false">
      <c r="A17" s="4" t="s">
        <v>690</v>
      </c>
      <c r="B17" s="4" t="s">
        <v>691</v>
      </c>
      <c r="C17" s="4" t="s">
        <v>692</v>
      </c>
      <c r="D17" s="4" t="s">
        <v>693</v>
      </c>
      <c r="E17" s="4" t="s">
        <v>633</v>
      </c>
      <c r="F17" s="4" t="s">
        <v>694</v>
      </c>
      <c r="G17" s="4" t="s">
        <v>2314</v>
      </c>
      <c r="H17" s="24" t="s">
        <v>2315</v>
      </c>
      <c r="I17" s="4" t="s">
        <v>622</v>
      </c>
      <c r="J17" s="4" t="s">
        <v>2292</v>
      </c>
    </row>
    <row r="18" customFormat="false" ht="43.5" hidden="false" customHeight="true" outlineLevel="0" collapsed="false">
      <c r="A18" s="5" t="s">
        <v>696</v>
      </c>
      <c r="B18" s="5" t="s">
        <v>219</v>
      </c>
      <c r="C18" s="5" t="s">
        <v>697</v>
      </c>
      <c r="D18" s="5" t="s">
        <v>698</v>
      </c>
      <c r="E18" s="5" t="s">
        <v>640</v>
      </c>
      <c r="F18" s="5" t="s">
        <v>699</v>
      </c>
      <c r="G18" s="5" t="s">
        <v>2316</v>
      </c>
      <c r="H18" s="25" t="s">
        <v>2317</v>
      </c>
      <c r="I18" s="5" t="s">
        <v>622</v>
      </c>
      <c r="J18" s="5" t="s">
        <v>2292</v>
      </c>
    </row>
    <row r="19" customFormat="false" ht="43.5" hidden="false" customHeight="true" outlineLevel="0" collapsed="false">
      <c r="A19" s="4" t="s">
        <v>701</v>
      </c>
      <c r="B19" s="4" t="s">
        <v>367</v>
      </c>
      <c r="C19" s="4" t="s">
        <v>702</v>
      </c>
      <c r="D19" s="4" t="s">
        <v>703</v>
      </c>
      <c r="E19" s="4" t="s">
        <v>704</v>
      </c>
      <c r="F19" s="4" t="s">
        <v>705</v>
      </c>
      <c r="G19" s="4" t="s">
        <v>2318</v>
      </c>
      <c r="H19" s="24" t="s">
        <v>2319</v>
      </c>
      <c r="I19" s="4" t="s">
        <v>622</v>
      </c>
      <c r="J19" s="4" t="s">
        <v>2292</v>
      </c>
    </row>
    <row r="20" customFormat="false" ht="43.5" hidden="false" customHeight="true" outlineLevel="0" collapsed="false">
      <c r="A20" s="5" t="s">
        <v>707</v>
      </c>
      <c r="B20" s="5" t="s">
        <v>367</v>
      </c>
      <c r="C20" s="5" t="s">
        <v>708</v>
      </c>
      <c r="D20" s="5" t="s">
        <v>709</v>
      </c>
      <c r="E20" s="5" t="s">
        <v>704</v>
      </c>
      <c r="F20" s="5" t="s">
        <v>710</v>
      </c>
      <c r="G20" s="5" t="s">
        <v>2320</v>
      </c>
      <c r="H20" s="25" t="s">
        <v>2321</v>
      </c>
      <c r="I20" s="5" t="s">
        <v>622</v>
      </c>
      <c r="J20" s="5" t="s">
        <v>2292</v>
      </c>
    </row>
    <row r="21" customFormat="false" ht="43.5" hidden="false" customHeight="true" outlineLevel="0" collapsed="false">
      <c r="A21" s="4" t="s">
        <v>712</v>
      </c>
      <c r="B21" s="4" t="s">
        <v>367</v>
      </c>
      <c r="C21" s="4" t="s">
        <v>713</v>
      </c>
      <c r="D21" s="4" t="s">
        <v>714</v>
      </c>
      <c r="E21" s="4" t="s">
        <v>633</v>
      </c>
      <c r="F21" s="4" t="s">
        <v>715</v>
      </c>
      <c r="G21" s="4" t="s">
        <v>2322</v>
      </c>
      <c r="H21" s="24" t="s">
        <v>2323</v>
      </c>
      <c r="I21" s="4" t="s">
        <v>622</v>
      </c>
      <c r="J21" s="4" t="s">
        <v>2292</v>
      </c>
    </row>
    <row r="22" customFormat="false" ht="43.5" hidden="false" customHeight="true" outlineLevel="0" collapsed="false">
      <c r="A22" s="5" t="s">
        <v>717</v>
      </c>
      <c r="B22" s="5" t="s">
        <v>248</v>
      </c>
      <c r="C22" s="5" t="s">
        <v>718</v>
      </c>
      <c r="D22" s="5" t="s">
        <v>719</v>
      </c>
      <c r="E22" s="5" t="s">
        <v>720</v>
      </c>
      <c r="F22" s="5" t="s">
        <v>721</v>
      </c>
      <c r="G22" s="5" t="s">
        <v>2324</v>
      </c>
      <c r="H22" s="25" t="s">
        <v>2325</v>
      </c>
      <c r="I22" s="5" t="s">
        <v>622</v>
      </c>
      <c r="J22" s="5" t="s">
        <v>2292</v>
      </c>
    </row>
    <row r="23" customFormat="false" ht="43.5" hidden="false" customHeight="true" outlineLevel="0" collapsed="false">
      <c r="A23" s="4" t="s">
        <v>723</v>
      </c>
      <c r="B23" s="4" t="s">
        <v>248</v>
      </c>
      <c r="C23" s="4" t="s">
        <v>724</v>
      </c>
      <c r="D23" s="4" t="s">
        <v>725</v>
      </c>
      <c r="E23" s="4" t="s">
        <v>704</v>
      </c>
      <c r="F23" s="4" t="s">
        <v>726</v>
      </c>
      <c r="G23" s="4" t="s">
        <v>2326</v>
      </c>
      <c r="H23" s="24" t="s">
        <v>2327</v>
      </c>
      <c r="I23" s="4" t="s">
        <v>622</v>
      </c>
      <c r="J23" s="4" t="s">
        <v>2292</v>
      </c>
    </row>
    <row r="24" customFormat="false" ht="43.5" hidden="false" customHeight="true" outlineLevel="0" collapsed="false">
      <c r="A24" s="5" t="s">
        <v>728</v>
      </c>
      <c r="B24" s="5" t="s">
        <v>248</v>
      </c>
      <c r="C24" s="5" t="s">
        <v>729</v>
      </c>
      <c r="D24" s="5" t="s">
        <v>730</v>
      </c>
      <c r="E24" s="5" t="s">
        <v>704</v>
      </c>
      <c r="F24" s="5" t="s">
        <v>731</v>
      </c>
      <c r="G24" s="5" t="s">
        <v>2328</v>
      </c>
      <c r="H24" s="25" t="s">
        <v>2329</v>
      </c>
      <c r="I24" s="5" t="s">
        <v>622</v>
      </c>
      <c r="J24" s="5" t="s">
        <v>2292</v>
      </c>
    </row>
    <row r="25" customFormat="false" ht="43.5" hidden="false" customHeight="true" outlineLevel="0" collapsed="false">
      <c r="A25" s="4" t="s">
        <v>733</v>
      </c>
      <c r="B25" s="4" t="s">
        <v>248</v>
      </c>
      <c r="C25" s="4" t="s">
        <v>734</v>
      </c>
      <c r="D25" s="4" t="s">
        <v>735</v>
      </c>
      <c r="E25" s="4" t="s">
        <v>704</v>
      </c>
      <c r="F25" s="4" t="s">
        <v>736</v>
      </c>
      <c r="G25" s="4" t="s">
        <v>2330</v>
      </c>
      <c r="H25" s="24" t="s">
        <v>2331</v>
      </c>
      <c r="I25" s="4" t="s">
        <v>622</v>
      </c>
      <c r="J25" s="4" t="s">
        <v>2292</v>
      </c>
    </row>
    <row r="26" customFormat="false" ht="43.5" hidden="false" customHeight="true" outlineLevel="0" collapsed="false">
      <c r="A26" s="5" t="s">
        <v>737</v>
      </c>
      <c r="B26" s="5" t="s">
        <v>248</v>
      </c>
      <c r="C26" s="5" t="s">
        <v>738</v>
      </c>
      <c r="D26" s="5" t="s">
        <v>739</v>
      </c>
      <c r="E26" s="5" t="s">
        <v>704</v>
      </c>
      <c r="F26" s="5" t="s">
        <v>740</v>
      </c>
      <c r="G26" s="5" t="s">
        <v>2332</v>
      </c>
      <c r="H26" s="25" t="s">
        <v>2333</v>
      </c>
      <c r="I26" s="5" t="s">
        <v>622</v>
      </c>
      <c r="J26" s="5" t="s">
        <v>2292</v>
      </c>
    </row>
    <row r="27" customFormat="false" ht="43.5" hidden="false" customHeight="true" outlineLevel="0" collapsed="false">
      <c r="A27" s="4" t="s">
        <v>741</v>
      </c>
      <c r="B27" s="4" t="s">
        <v>248</v>
      </c>
      <c r="C27" s="4" t="s">
        <v>742</v>
      </c>
      <c r="D27" s="4" t="s">
        <v>743</v>
      </c>
      <c r="E27" s="4" t="s">
        <v>704</v>
      </c>
      <c r="F27" s="4" t="s">
        <v>744</v>
      </c>
      <c r="G27" s="4" t="s">
        <v>2334</v>
      </c>
      <c r="H27" s="24" t="s">
        <v>2335</v>
      </c>
      <c r="I27" s="4" t="s">
        <v>622</v>
      </c>
      <c r="J27" s="4" t="s">
        <v>2292</v>
      </c>
    </row>
    <row r="28" customFormat="false" ht="43.5" hidden="false" customHeight="true" outlineLevel="0" collapsed="false">
      <c r="A28" s="5" t="s">
        <v>746</v>
      </c>
      <c r="B28" s="5" t="s">
        <v>368</v>
      </c>
      <c r="C28" s="5" t="s">
        <v>747</v>
      </c>
      <c r="D28" s="5" t="s">
        <v>748</v>
      </c>
      <c r="E28" s="5" t="s">
        <v>704</v>
      </c>
      <c r="F28" s="5" t="s">
        <v>749</v>
      </c>
      <c r="G28" s="5" t="s">
        <v>2336</v>
      </c>
      <c r="H28" s="25" t="s">
        <v>2337</v>
      </c>
      <c r="I28" s="5" t="s">
        <v>649</v>
      </c>
      <c r="J28" s="5" t="s">
        <v>2292</v>
      </c>
    </row>
    <row r="29" customFormat="false" ht="43.5" hidden="false" customHeight="true" outlineLevel="0" collapsed="false">
      <c r="A29" s="4" t="s">
        <v>751</v>
      </c>
      <c r="B29" s="4" t="s">
        <v>368</v>
      </c>
      <c r="C29" s="4" t="s">
        <v>752</v>
      </c>
      <c r="D29" s="4" t="s">
        <v>753</v>
      </c>
      <c r="E29" s="4" t="s">
        <v>704</v>
      </c>
      <c r="F29" s="4" t="s">
        <v>754</v>
      </c>
      <c r="G29" s="4" t="s">
        <v>2338</v>
      </c>
      <c r="H29" s="24" t="s">
        <v>2339</v>
      </c>
      <c r="I29" s="4" t="s">
        <v>622</v>
      </c>
      <c r="J29" s="4" t="s">
        <v>2292</v>
      </c>
    </row>
    <row r="30" customFormat="false" ht="43.5" hidden="false" customHeight="true" outlineLevel="0" collapsed="false">
      <c r="A30" s="5" t="s">
        <v>756</v>
      </c>
      <c r="B30" s="5" t="s">
        <v>368</v>
      </c>
      <c r="C30" s="5" t="s">
        <v>757</v>
      </c>
      <c r="D30" s="5" t="s">
        <v>758</v>
      </c>
      <c r="E30" s="5" t="s">
        <v>704</v>
      </c>
      <c r="F30" s="5" t="s">
        <v>759</v>
      </c>
      <c r="G30" s="5" t="s">
        <v>2340</v>
      </c>
      <c r="H30" s="25" t="s">
        <v>2341</v>
      </c>
      <c r="I30" s="5" t="s">
        <v>622</v>
      </c>
      <c r="J30" s="5" t="s">
        <v>2292</v>
      </c>
    </row>
    <row r="31" customFormat="false" ht="43.5" hidden="false" customHeight="true" outlineLevel="0" collapsed="false">
      <c r="A31" s="4" t="s">
        <v>760</v>
      </c>
      <c r="B31" s="4" t="s">
        <v>248</v>
      </c>
      <c r="C31" s="4" t="s">
        <v>761</v>
      </c>
      <c r="D31" s="4" t="s">
        <v>762</v>
      </c>
      <c r="E31" s="4" t="s">
        <v>704</v>
      </c>
      <c r="F31" s="4" t="s">
        <v>763</v>
      </c>
      <c r="G31" s="4" t="s">
        <v>2342</v>
      </c>
      <c r="H31" s="24" t="s">
        <v>2343</v>
      </c>
      <c r="I31" s="4" t="s">
        <v>622</v>
      </c>
      <c r="J31" s="4" t="s">
        <v>2292</v>
      </c>
    </row>
    <row r="32" customFormat="false" ht="43.5" hidden="false" customHeight="true" outlineLevel="0" collapsed="false">
      <c r="A32" s="5" t="s">
        <v>765</v>
      </c>
      <c r="B32" s="5" t="s">
        <v>248</v>
      </c>
      <c r="C32" s="5" t="s">
        <v>766</v>
      </c>
      <c r="D32" s="5" t="s">
        <v>767</v>
      </c>
      <c r="E32" s="5" t="s">
        <v>704</v>
      </c>
      <c r="F32" s="5" t="s">
        <v>768</v>
      </c>
      <c r="G32" s="5" t="s">
        <v>2344</v>
      </c>
      <c r="H32" s="25" t="s">
        <v>2345</v>
      </c>
      <c r="I32" s="5" t="s">
        <v>622</v>
      </c>
      <c r="J32" s="5" t="s">
        <v>2292</v>
      </c>
    </row>
    <row r="33" customFormat="false" ht="43.5" hidden="false" customHeight="true" outlineLevel="0" collapsed="false">
      <c r="A33" s="4" t="s">
        <v>769</v>
      </c>
      <c r="B33" s="4" t="s">
        <v>770</v>
      </c>
      <c r="C33" s="4" t="s">
        <v>771</v>
      </c>
      <c r="D33" s="4" t="s">
        <v>772</v>
      </c>
      <c r="E33" s="4" t="s">
        <v>773</v>
      </c>
      <c r="F33" s="4" t="s">
        <v>774</v>
      </c>
      <c r="G33" s="4" t="s">
        <v>2346</v>
      </c>
      <c r="H33" s="24" t="s">
        <v>2347</v>
      </c>
      <c r="I33" s="4" t="s">
        <v>622</v>
      </c>
      <c r="J33" s="4" t="s">
        <v>2292</v>
      </c>
    </row>
    <row r="34" customFormat="false" ht="43.5" hidden="false" customHeight="true" outlineLevel="0" collapsed="false">
      <c r="A34" s="5" t="s">
        <v>776</v>
      </c>
      <c r="B34" s="5" t="s">
        <v>770</v>
      </c>
      <c r="C34" s="5" t="s">
        <v>777</v>
      </c>
      <c r="D34" s="5" t="s">
        <v>772</v>
      </c>
      <c r="E34" s="5" t="s">
        <v>773</v>
      </c>
      <c r="F34" s="5" t="s">
        <v>774</v>
      </c>
      <c r="G34" s="5" t="s">
        <v>2348</v>
      </c>
      <c r="H34" s="25" t="s">
        <v>2349</v>
      </c>
      <c r="I34" s="5" t="s">
        <v>622</v>
      </c>
      <c r="J34" s="5" t="s">
        <v>2292</v>
      </c>
    </row>
    <row r="35" customFormat="false" ht="43.5" hidden="false" customHeight="true" outlineLevel="0" collapsed="false">
      <c r="A35" s="4" t="s">
        <v>778</v>
      </c>
      <c r="B35" s="4" t="s">
        <v>770</v>
      </c>
      <c r="C35" s="4" t="s">
        <v>779</v>
      </c>
      <c r="D35" s="4" t="s">
        <v>772</v>
      </c>
      <c r="E35" s="4" t="s">
        <v>780</v>
      </c>
      <c r="F35" s="4" t="s">
        <v>774</v>
      </c>
      <c r="G35" s="4" t="s">
        <v>2350</v>
      </c>
      <c r="H35" s="24" t="s">
        <v>2351</v>
      </c>
      <c r="I35" s="4" t="s">
        <v>622</v>
      </c>
      <c r="J35" s="4" t="s">
        <v>2292</v>
      </c>
    </row>
    <row r="36" customFormat="false" ht="43.5" hidden="false" customHeight="true" outlineLevel="0" collapsed="false">
      <c r="A36" s="5" t="s">
        <v>782</v>
      </c>
      <c r="B36" s="5" t="s">
        <v>770</v>
      </c>
      <c r="C36" s="5" t="s">
        <v>783</v>
      </c>
      <c r="D36" s="5" t="s">
        <v>772</v>
      </c>
      <c r="E36" s="5" t="s">
        <v>784</v>
      </c>
      <c r="F36" s="5" t="s">
        <v>774</v>
      </c>
      <c r="G36" s="5" t="s">
        <v>2352</v>
      </c>
      <c r="H36" s="25" t="s">
        <v>2353</v>
      </c>
      <c r="I36" s="5" t="s">
        <v>622</v>
      </c>
      <c r="J36" s="5" t="s">
        <v>2292</v>
      </c>
    </row>
    <row r="37" customFormat="false" ht="43.5" hidden="false" customHeight="true" outlineLevel="0" collapsed="false">
      <c r="A37" s="4" t="s">
        <v>786</v>
      </c>
      <c r="B37" s="4" t="s">
        <v>770</v>
      </c>
      <c r="C37" s="4" t="s">
        <v>787</v>
      </c>
      <c r="D37" s="4" t="s">
        <v>772</v>
      </c>
      <c r="E37" s="4" t="s">
        <v>788</v>
      </c>
      <c r="F37" s="4" t="s">
        <v>774</v>
      </c>
      <c r="G37" s="4" t="s">
        <v>2354</v>
      </c>
      <c r="H37" s="24" t="s">
        <v>2355</v>
      </c>
      <c r="I37" s="4" t="s">
        <v>622</v>
      </c>
      <c r="J37" s="4" t="s">
        <v>2292</v>
      </c>
    </row>
    <row r="38" customFormat="false" ht="43.5" hidden="false" customHeight="true" outlineLevel="0" collapsed="false">
      <c r="A38" s="5" t="s">
        <v>790</v>
      </c>
      <c r="B38" s="5" t="s">
        <v>770</v>
      </c>
      <c r="C38" s="5" t="s">
        <v>791</v>
      </c>
      <c r="D38" s="5" t="s">
        <v>772</v>
      </c>
      <c r="E38" s="5" t="s">
        <v>792</v>
      </c>
      <c r="F38" s="5" t="s">
        <v>774</v>
      </c>
      <c r="G38" s="5" t="s">
        <v>2356</v>
      </c>
      <c r="H38" s="25" t="s">
        <v>2357</v>
      </c>
      <c r="I38" s="5" t="s">
        <v>622</v>
      </c>
      <c r="J38" s="5" t="s">
        <v>2292</v>
      </c>
    </row>
    <row r="39" customFormat="false" ht="43.5" hidden="false" customHeight="true" outlineLevel="0" collapsed="false">
      <c r="A39" s="4" t="s">
        <v>794</v>
      </c>
      <c r="B39" s="4" t="s">
        <v>770</v>
      </c>
      <c r="C39" s="4" t="s">
        <v>795</v>
      </c>
      <c r="D39" s="4" t="s">
        <v>772</v>
      </c>
      <c r="E39" s="4" t="s">
        <v>704</v>
      </c>
      <c r="F39" s="4" t="s">
        <v>796</v>
      </c>
      <c r="G39" s="4" t="s">
        <v>2358</v>
      </c>
      <c r="H39" s="24" t="s">
        <v>2359</v>
      </c>
      <c r="I39" s="4" t="s">
        <v>622</v>
      </c>
      <c r="J39" s="4" t="s">
        <v>2292</v>
      </c>
    </row>
    <row r="40" customFormat="false" ht="43.5" hidden="false" customHeight="true" outlineLevel="0" collapsed="false">
      <c r="A40" s="5" t="s">
        <v>798</v>
      </c>
      <c r="B40" s="5" t="s">
        <v>770</v>
      </c>
      <c r="C40" s="5" t="s">
        <v>799</v>
      </c>
      <c r="D40" s="5" t="s">
        <v>800</v>
      </c>
      <c r="E40" s="5" t="s">
        <v>704</v>
      </c>
      <c r="F40" s="5" t="s">
        <v>801</v>
      </c>
      <c r="G40" s="5" t="s">
        <v>2360</v>
      </c>
      <c r="H40" s="25" t="s">
        <v>2361</v>
      </c>
      <c r="I40" s="5" t="s">
        <v>622</v>
      </c>
      <c r="J40" s="5" t="s">
        <v>2292</v>
      </c>
    </row>
    <row r="41" customFormat="false" ht="43.5" hidden="false" customHeight="true" outlineLevel="0" collapsed="false">
      <c r="A41" s="4" t="s">
        <v>803</v>
      </c>
      <c r="B41" s="4" t="s">
        <v>804</v>
      </c>
      <c r="C41" s="4" t="s">
        <v>805</v>
      </c>
      <c r="D41" s="4" t="s">
        <v>714</v>
      </c>
      <c r="E41" s="4" t="s">
        <v>633</v>
      </c>
      <c r="F41" s="4" t="s">
        <v>806</v>
      </c>
      <c r="G41" s="4" t="s">
        <v>2362</v>
      </c>
      <c r="H41" s="24" t="s">
        <v>2363</v>
      </c>
      <c r="I41" s="4" t="s">
        <v>649</v>
      </c>
      <c r="J41" s="4" t="s">
        <v>2292</v>
      </c>
    </row>
    <row r="42" customFormat="false" ht="43.5" hidden="false" customHeight="true" outlineLevel="0" collapsed="false">
      <c r="A42" s="5" t="s">
        <v>808</v>
      </c>
      <c r="B42" s="5" t="s">
        <v>770</v>
      </c>
      <c r="C42" s="5" t="s">
        <v>809</v>
      </c>
      <c r="D42" s="5" t="s">
        <v>772</v>
      </c>
      <c r="E42" s="5" t="s">
        <v>704</v>
      </c>
      <c r="F42" s="5" t="s">
        <v>796</v>
      </c>
      <c r="G42" s="5" t="s">
        <v>2364</v>
      </c>
      <c r="H42" s="25" t="s">
        <v>2365</v>
      </c>
      <c r="I42" s="5" t="s">
        <v>649</v>
      </c>
      <c r="J42" s="5" t="s">
        <v>2292</v>
      </c>
    </row>
    <row r="43" customFormat="false" ht="43.5" hidden="false" customHeight="true" outlineLevel="0" collapsed="false">
      <c r="A43" s="4" t="s">
        <v>811</v>
      </c>
      <c r="B43" s="4" t="s">
        <v>770</v>
      </c>
      <c r="C43" s="4" t="s">
        <v>812</v>
      </c>
      <c r="D43" s="4" t="s">
        <v>772</v>
      </c>
      <c r="E43" s="4" t="s">
        <v>813</v>
      </c>
      <c r="F43" s="4" t="s">
        <v>774</v>
      </c>
      <c r="G43" s="4" t="s">
        <v>2366</v>
      </c>
      <c r="H43" s="24" t="s">
        <v>2367</v>
      </c>
      <c r="I43" s="4" t="s">
        <v>649</v>
      </c>
      <c r="J43" s="4" t="s">
        <v>2292</v>
      </c>
    </row>
    <row r="44" customFormat="false" ht="43.5" hidden="false" customHeight="true" outlineLevel="0" collapsed="false">
      <c r="A44" s="5" t="s">
        <v>815</v>
      </c>
      <c r="B44" s="5" t="s">
        <v>770</v>
      </c>
      <c r="C44" s="5" t="s">
        <v>816</v>
      </c>
      <c r="D44" s="5" t="s">
        <v>817</v>
      </c>
      <c r="E44" s="5" t="s">
        <v>818</v>
      </c>
      <c r="F44" s="5" t="s">
        <v>819</v>
      </c>
      <c r="G44" s="5" t="s">
        <v>2368</v>
      </c>
      <c r="H44" s="25" t="s">
        <v>2369</v>
      </c>
      <c r="I44" s="5" t="s">
        <v>622</v>
      </c>
      <c r="J44" s="5" t="s">
        <v>2292</v>
      </c>
    </row>
    <row r="45" customFormat="false" ht="43.5" hidden="false" customHeight="true" outlineLevel="0" collapsed="false">
      <c r="A45" s="4" t="s">
        <v>821</v>
      </c>
      <c r="B45" s="4" t="s">
        <v>770</v>
      </c>
      <c r="C45" s="4" t="s">
        <v>822</v>
      </c>
      <c r="D45" s="4" t="s">
        <v>823</v>
      </c>
      <c r="E45" s="4" t="s">
        <v>773</v>
      </c>
      <c r="F45" s="4" t="s">
        <v>774</v>
      </c>
      <c r="G45" s="4" t="s">
        <v>2370</v>
      </c>
      <c r="H45" s="24" t="s">
        <v>2371</v>
      </c>
      <c r="I45" s="4" t="s">
        <v>622</v>
      </c>
      <c r="J45" s="4" t="s">
        <v>2292</v>
      </c>
    </row>
    <row r="46" customFormat="false" ht="43.5" hidden="false" customHeight="true" outlineLevel="0" collapsed="false">
      <c r="A46" s="5" t="s">
        <v>824</v>
      </c>
      <c r="B46" s="5" t="s">
        <v>770</v>
      </c>
      <c r="C46" s="5" t="s">
        <v>825</v>
      </c>
      <c r="D46" s="5" t="s">
        <v>826</v>
      </c>
      <c r="E46" s="5" t="s">
        <v>827</v>
      </c>
      <c r="F46" s="5" t="s">
        <v>828</v>
      </c>
      <c r="G46" s="5" t="s">
        <v>2372</v>
      </c>
      <c r="H46" s="25" t="s">
        <v>2373</v>
      </c>
      <c r="I46" s="5" t="s">
        <v>622</v>
      </c>
      <c r="J46" s="5" t="s">
        <v>2292</v>
      </c>
    </row>
    <row r="47" customFormat="false" ht="43.5" hidden="false" customHeight="true" outlineLevel="0" collapsed="false">
      <c r="A47" s="4" t="s">
        <v>830</v>
      </c>
      <c r="B47" s="4" t="s">
        <v>770</v>
      </c>
      <c r="C47" s="4" t="s">
        <v>831</v>
      </c>
      <c r="D47" s="4" t="s">
        <v>817</v>
      </c>
      <c r="E47" s="4" t="s">
        <v>818</v>
      </c>
      <c r="F47" s="4" t="s">
        <v>819</v>
      </c>
      <c r="G47" s="4" t="s">
        <v>2374</v>
      </c>
      <c r="H47" s="24" t="s">
        <v>2375</v>
      </c>
      <c r="I47" s="4" t="s">
        <v>622</v>
      </c>
      <c r="J47" s="4" t="s">
        <v>2292</v>
      </c>
    </row>
    <row r="48" customFormat="false" ht="43.5" hidden="false" customHeight="true" outlineLevel="0" collapsed="false">
      <c r="A48" s="5" t="s">
        <v>833</v>
      </c>
      <c r="B48" s="5" t="s">
        <v>770</v>
      </c>
      <c r="C48" s="5" t="s">
        <v>834</v>
      </c>
      <c r="D48" s="5" t="s">
        <v>835</v>
      </c>
      <c r="E48" s="5" t="s">
        <v>704</v>
      </c>
      <c r="F48" s="5" t="s">
        <v>796</v>
      </c>
      <c r="G48" s="5" t="s">
        <v>2376</v>
      </c>
      <c r="H48" s="25" t="s">
        <v>2377</v>
      </c>
      <c r="I48" s="5" t="s">
        <v>622</v>
      </c>
      <c r="J48" s="5" t="s">
        <v>2292</v>
      </c>
    </row>
    <row r="49" customFormat="false" ht="43.5" hidden="false" customHeight="true" outlineLevel="0" collapsed="false">
      <c r="A49" s="4" t="s">
        <v>837</v>
      </c>
      <c r="B49" s="4" t="s">
        <v>770</v>
      </c>
      <c r="C49" s="4" t="s">
        <v>838</v>
      </c>
      <c r="D49" s="4" t="s">
        <v>839</v>
      </c>
      <c r="E49" s="4" t="s">
        <v>840</v>
      </c>
      <c r="F49" s="4" t="s">
        <v>774</v>
      </c>
      <c r="G49" s="4" t="s">
        <v>2378</v>
      </c>
      <c r="H49" s="24" t="s">
        <v>2379</v>
      </c>
      <c r="I49" s="4" t="s">
        <v>622</v>
      </c>
      <c r="J49" s="4" t="s">
        <v>2292</v>
      </c>
    </row>
    <row r="50" customFormat="false" ht="43.5" hidden="false" customHeight="true" outlineLevel="0" collapsed="false">
      <c r="A50" s="5" t="s">
        <v>842</v>
      </c>
      <c r="B50" s="5" t="s">
        <v>770</v>
      </c>
      <c r="C50" s="5" t="s">
        <v>843</v>
      </c>
      <c r="D50" s="5" t="s">
        <v>844</v>
      </c>
      <c r="E50" s="5" t="s">
        <v>845</v>
      </c>
      <c r="F50" s="5" t="s">
        <v>774</v>
      </c>
      <c r="G50" s="5" t="s">
        <v>2380</v>
      </c>
      <c r="H50" s="25" t="s">
        <v>2381</v>
      </c>
      <c r="I50" s="5" t="s">
        <v>622</v>
      </c>
      <c r="J50" s="5" t="s">
        <v>2292</v>
      </c>
    </row>
    <row r="51" customFormat="false" ht="43.5" hidden="false" customHeight="true" outlineLevel="0" collapsed="false">
      <c r="A51" s="4" t="s">
        <v>847</v>
      </c>
      <c r="B51" s="4" t="s">
        <v>770</v>
      </c>
      <c r="C51" s="4" t="s">
        <v>848</v>
      </c>
      <c r="D51" s="4" t="s">
        <v>823</v>
      </c>
      <c r="E51" s="4" t="s">
        <v>773</v>
      </c>
      <c r="F51" s="4" t="s">
        <v>774</v>
      </c>
      <c r="G51" s="4" t="s">
        <v>2382</v>
      </c>
      <c r="H51" s="24" t="s">
        <v>2383</v>
      </c>
      <c r="I51" s="4" t="s">
        <v>622</v>
      </c>
      <c r="J51" s="4" t="s">
        <v>2292</v>
      </c>
    </row>
    <row r="52" customFormat="false" ht="43.5" hidden="false" customHeight="true" outlineLevel="0" collapsed="false">
      <c r="A52" s="5" t="s">
        <v>849</v>
      </c>
      <c r="B52" s="5" t="s">
        <v>770</v>
      </c>
      <c r="C52" s="5" t="s">
        <v>850</v>
      </c>
      <c r="D52" s="5" t="s">
        <v>772</v>
      </c>
      <c r="E52" s="5" t="s">
        <v>813</v>
      </c>
      <c r="F52" s="5" t="s">
        <v>774</v>
      </c>
      <c r="G52" s="5" t="s">
        <v>2384</v>
      </c>
      <c r="H52" s="25" t="s">
        <v>2385</v>
      </c>
      <c r="I52" s="5" t="s">
        <v>649</v>
      </c>
      <c r="J52" s="5" t="s">
        <v>2292</v>
      </c>
    </row>
    <row r="53" customFormat="false" ht="43.5" hidden="false" customHeight="true" outlineLevel="0" collapsed="false">
      <c r="A53" s="4" t="s">
        <v>851</v>
      </c>
      <c r="B53" s="4" t="s">
        <v>770</v>
      </c>
      <c r="C53" s="4" t="s">
        <v>852</v>
      </c>
      <c r="D53" s="4" t="s">
        <v>772</v>
      </c>
      <c r="E53" s="4" t="s">
        <v>813</v>
      </c>
      <c r="F53" s="4" t="s">
        <v>774</v>
      </c>
      <c r="G53" s="4" t="s">
        <v>2386</v>
      </c>
      <c r="H53" s="24" t="s">
        <v>2387</v>
      </c>
      <c r="I53" s="4" t="s">
        <v>649</v>
      </c>
      <c r="J53" s="4" t="s">
        <v>2292</v>
      </c>
    </row>
    <row r="54" customFormat="false" ht="43.5" hidden="false" customHeight="true" outlineLevel="0" collapsed="false">
      <c r="A54" s="5" t="s">
        <v>853</v>
      </c>
      <c r="B54" s="5" t="s">
        <v>770</v>
      </c>
      <c r="C54" s="5" t="s">
        <v>854</v>
      </c>
      <c r="D54" s="5" t="s">
        <v>772</v>
      </c>
      <c r="E54" s="5" t="s">
        <v>813</v>
      </c>
      <c r="F54" s="5" t="s">
        <v>774</v>
      </c>
      <c r="G54" s="5" t="s">
        <v>2388</v>
      </c>
      <c r="H54" s="25" t="s">
        <v>2389</v>
      </c>
      <c r="I54" s="5" t="s">
        <v>622</v>
      </c>
      <c r="J54" s="5" t="s">
        <v>2292</v>
      </c>
    </row>
  </sheetData>
  <autoFilter ref="A4:J4"/>
  <conditionalFormatting sqref="I5:I54">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2390</v>
      </c>
    </row>
    <row r="2" customFormat="false" ht="15" hidden="false" customHeight="false" outlineLevel="0" collapsed="false">
      <c r="A2" s="2" t="s">
        <v>2391</v>
      </c>
    </row>
    <row r="4" customFormat="false" ht="30" hidden="false" customHeight="true" outlineLevel="0" collapsed="false">
      <c r="A4" s="3" t="s">
        <v>2392</v>
      </c>
      <c r="B4" s="3" t="s">
        <v>75</v>
      </c>
    </row>
    <row r="5" customFormat="false" ht="37.5" hidden="false" customHeight="true" outlineLevel="0" collapsed="false">
      <c r="A5" s="4" t="s">
        <v>2393</v>
      </c>
      <c r="B5" s="4" t="s">
        <v>2394</v>
      </c>
    </row>
    <row r="6" customFormat="false" ht="37.5" hidden="false" customHeight="true" outlineLevel="0" collapsed="false">
      <c r="A6" s="5" t="s">
        <v>2395</v>
      </c>
      <c r="B6" s="5" t="s">
        <v>2396</v>
      </c>
    </row>
    <row r="7" customFormat="false" ht="37.5" hidden="false" customHeight="true" outlineLevel="0" collapsed="false">
      <c r="A7" s="4" t="s">
        <v>2397</v>
      </c>
      <c r="B7" s="4" t="s">
        <v>2398</v>
      </c>
    </row>
    <row r="8" customFormat="false" ht="37.5" hidden="false" customHeight="true" outlineLevel="0" collapsed="false">
      <c r="A8" s="5" t="s">
        <v>2399</v>
      </c>
      <c r="B8" s="5" t="s">
        <v>2400</v>
      </c>
    </row>
    <row r="9" customFormat="false" ht="37.5" hidden="false" customHeight="true" outlineLevel="0" collapsed="false">
      <c r="A9" s="4" t="s">
        <v>2401</v>
      </c>
      <c r="B9" s="4" t="s">
        <v>2402</v>
      </c>
    </row>
    <row r="10" customFormat="false" ht="37.5" hidden="false" customHeight="true" outlineLevel="0" collapsed="false">
      <c r="A10" s="5" t="s">
        <v>149</v>
      </c>
      <c r="B10" s="5" t="s">
        <v>2403</v>
      </c>
    </row>
    <row r="11" customFormat="false" ht="37.5" hidden="false" customHeight="true" outlineLevel="0" collapsed="false">
      <c r="A11" s="4" t="s">
        <v>150</v>
      </c>
      <c r="B11" s="4" t="s">
        <v>2404</v>
      </c>
    </row>
    <row r="12" customFormat="false" ht="37.5" hidden="false" customHeight="true" outlineLevel="0" collapsed="false">
      <c r="A12" s="5" t="s">
        <v>2405</v>
      </c>
      <c r="B12" s="5" t="s">
        <v>2406</v>
      </c>
    </row>
    <row r="13" customFormat="false" ht="37.5" hidden="false" customHeight="true" outlineLevel="0" collapsed="false">
      <c r="A13" s="4" t="s">
        <v>2407</v>
      </c>
      <c r="B13" s="4" t="s">
        <v>2408</v>
      </c>
    </row>
    <row r="14" customFormat="false" ht="37.5" hidden="false" customHeight="true" outlineLevel="0" collapsed="false">
      <c r="A14" s="5" t="s">
        <v>2409</v>
      </c>
      <c r="B14" s="5" t="s">
        <v>2410</v>
      </c>
    </row>
    <row r="15" customFormat="false" ht="37.5" hidden="false" customHeight="true" outlineLevel="0" collapsed="false">
      <c r="A15" s="4" t="s">
        <v>2411</v>
      </c>
      <c r="B15" s="4" t="s">
        <v>2412</v>
      </c>
    </row>
    <row r="16" customFormat="false" ht="37.5" hidden="false" customHeight="true" outlineLevel="0" collapsed="false">
      <c r="A16" s="5" t="s">
        <v>2413</v>
      </c>
      <c r="B16" s="5" t="s">
        <v>2414</v>
      </c>
    </row>
    <row r="17" customFormat="false" ht="37.5" hidden="false" customHeight="true" outlineLevel="0" collapsed="false">
      <c r="A17" s="4" t="s">
        <v>2415</v>
      </c>
      <c r="B17" s="4" t="s">
        <v>2416</v>
      </c>
    </row>
    <row r="18" customFormat="false" ht="37.5" hidden="false" customHeight="true" outlineLevel="0" collapsed="false">
      <c r="A18" s="5" t="s">
        <v>2417</v>
      </c>
      <c r="B18" s="5" t="s">
        <v>2418</v>
      </c>
    </row>
    <row r="19" customFormat="false" ht="37.5" hidden="false" customHeight="true" outlineLevel="0" collapsed="false">
      <c r="A19" s="4" t="s">
        <v>2419</v>
      </c>
      <c r="B19" s="4" t="s">
        <v>2420</v>
      </c>
    </row>
    <row r="20" customFormat="false" ht="37.5" hidden="false" customHeight="true" outlineLevel="0" collapsed="false">
      <c r="A20" s="5" t="s">
        <v>2421</v>
      </c>
      <c r="B20" s="5" t="s">
        <v>2422</v>
      </c>
    </row>
    <row r="21" customFormat="false" ht="37.5" hidden="false" customHeight="true" outlineLevel="0" collapsed="false">
      <c r="A21" s="4" t="s">
        <v>2423</v>
      </c>
      <c r="B21" s="4" t="s">
        <v>2424</v>
      </c>
    </row>
    <row r="22" customFormat="false" ht="37.5" hidden="false" customHeight="true" outlineLevel="0" collapsed="false">
      <c r="A22" s="5" t="s">
        <v>2425</v>
      </c>
      <c r="B22" s="5" t="s">
        <v>2426</v>
      </c>
    </row>
    <row r="23" customFormat="false" ht="37.5" hidden="false" customHeight="true" outlineLevel="0" collapsed="false">
      <c r="A23" s="4" t="s">
        <v>873</v>
      </c>
      <c r="B23" s="4" t="s">
        <v>2427</v>
      </c>
    </row>
    <row r="24" customFormat="false" ht="37.5" hidden="false" customHeight="true" outlineLevel="0" collapsed="false">
      <c r="A24" s="5" t="s">
        <v>880</v>
      </c>
      <c r="B24" s="5" t="s">
        <v>2428</v>
      </c>
    </row>
    <row r="25" customFormat="false" ht="37.5" hidden="false" customHeight="true" outlineLevel="0" collapsed="false">
      <c r="A25" s="4" t="s">
        <v>1139</v>
      </c>
      <c r="B25" s="4" t="s">
        <v>2429</v>
      </c>
    </row>
    <row r="26" customFormat="false" ht="37.5" hidden="false" customHeight="true" outlineLevel="0" collapsed="false">
      <c r="A26" s="5" t="s">
        <v>1105</v>
      </c>
      <c r="B26" s="5" t="s">
        <v>2430</v>
      </c>
    </row>
    <row r="27" customFormat="false" ht="37.5" hidden="false" customHeight="true" outlineLevel="0" collapsed="false">
      <c r="A27" s="4" t="s">
        <v>622</v>
      </c>
      <c r="B27" s="4" t="s">
        <v>2431</v>
      </c>
    </row>
    <row r="28" customFormat="false" ht="37.5" hidden="false" customHeight="true" outlineLevel="0" collapsed="false">
      <c r="A28" s="5" t="s">
        <v>649</v>
      </c>
      <c r="B28" s="5" t="s">
        <v>2432</v>
      </c>
    </row>
    <row r="29" customFormat="false" ht="37.5" hidden="false" customHeight="true" outlineLevel="0" collapsed="false">
      <c r="A29" s="4" t="s">
        <v>1840</v>
      </c>
      <c r="B29" s="4" t="s">
        <v>2433</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2026-07-25T14:36:10Z</dcterms:created>
  <dc:creator>openpyxl</dc:creator>
  <dc:description/>
  <dc:language>en-US</dc:language>
  <cp:lastModifiedBy/>
  <dcterms:modified xsi:type="dcterms:W3CDTF">2026-07-25T14:36:11Z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