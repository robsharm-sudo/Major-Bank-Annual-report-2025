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Expected credit loss and provisioning models
Observed gap:
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r>
      </text>
    </comment>
    <comment ref="B33"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4"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5"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6"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7"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8"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9"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specific capital requirement governing approval, change and conditions of use.</t>
        </r>
      </text>
    </comment>
    <comment ref="L31" authorId="0">
      <text>
        <r>
          <rPr>
            <sz val="10"/>
            <rFont val="Arial"/>
            <family val="2"/>
          </rPr>
          <t xml:space="preserve">Expected position after CPS XXXX:
Bring valuation and financial reporting models expressly within scope and require independent price verification as a control distinct from validation.</t>
        </r>
      </text>
    </comment>
    <comment ref="L32" authorId="0">
      <text>
        <r>
          <rPr>
            <sz val="10"/>
            <rFont val="Arial"/>
            <family val="2"/>
          </rPr>
          <t xml:space="preserve">Expected position after CPS XXXX:
Connect the existing APS 220 validation obligation to the model risk framework rather than restating it, govern overlays and scenario assumptions as model risk, and publish the review focus areas so entities know what an APRA-commissioned review under the APS 220 special purpose engagements provision would examine.</t>
        </r>
      </text>
    </comment>
    <comment ref="L33" authorId="0">
      <text>
        <r>
          <rPr>
            <sz val="10"/>
            <rFont val="Arial"/>
            <family val="2"/>
          </rPr>
          <t xml:space="preserve">Expected position after CPS XXXX:
Require insurers to map which validation elements the actuarial control cycle discharges and which need separate work.</t>
        </r>
      </text>
    </comment>
    <comment ref="L34" authorId="0">
      <text>
        <r>
          <rPr>
            <sz val="10"/>
            <rFont val="Arial"/>
            <family val="2"/>
          </rPr>
          <t xml:space="preserve">Expected position after CPS XXXX:
Name the RSE model classes expressly. Scored against the cross-industry benchmark rather than a comparator, because none exists.</t>
        </r>
      </text>
    </comment>
    <comment ref="L35"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6"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7" authorId="0">
      <text>
        <r>
          <rPr>
            <sz val="10"/>
            <rFont val="Arial"/>
            <family val="2"/>
          </rPr>
          <t xml:space="preserve">Expected position after CPS XXXX:
Specify reconstructability for material models, with retention aligned to the period over which the decisions informed remain material.</t>
        </r>
      </text>
    </comment>
    <comment ref="L38"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9"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<sst xmlns="http://schemas.openxmlformats.org/spreadsheetml/2006/main" count="4849" uniqueCount="2341">
  <si>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</si>
  <si>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</si>
  <si>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</si>
  <si>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</si>
  <si>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</si>
  <si>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</si>
  <si>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</si>
  <si>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</si>
  <si>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</si>
  <si>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</si>
  <si>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</si>
  <si>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</si>
  <si>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</si>
  <si>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</si>
  <si>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</si>
  <si>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</si>
  <si>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</si>
  <si>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</si>
  <si>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</si>
  <si>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</si>
  <si>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</si>
  <si>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</si>
  <si>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</si>
  <si>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</si>
  <si>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</si>
  <si>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</si>
  <si>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</si>
  <si>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</si>
  <si>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</si>
  <si>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</si>
  <si>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</si>
  <si>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</si>
  <si>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</si>
  <si>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</si>
  <si>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</si>
  <si>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</si>
  <si>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</si>
  <si>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</si>
  <si>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</si>
  <si>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</si>
  <si>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</si>
  <si>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</si>
  <si>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</si>
  <si>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</si>
  <si>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</si>
  <si>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</si>
  <si>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</si>
  <si>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</si>
  <si>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</si>
  <si>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</si>
  <si>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</si>
  <si>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</si>
  <si>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</si>
  <si>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</si>
  <si>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</si>
  <si>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</si>
  <si>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</si>
  <si>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</si>
  <si>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</si>
  <si>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</si>
  <si>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</si>
  <si>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</si>
  <si>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</si>
  <si>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</si>
  <si>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</si>
  <si>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</si>
  <si>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</si>
  <si>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</si>
  <si>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</si>
  <si>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</si>
  <si>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</si>
  <si>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</si>
  <si>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</si>
  <si>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</si>
  <si>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</si>
  <si>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</si>
  <si>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</si>
  <si>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</si>
  <si>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</si>
  <si>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</si>
  <si>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</si>
  <si>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</si>
  <si>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</si>
  <si>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</si>
  <si>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</si>
  <si>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</si>
  <si>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</si>
  <si>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</si>
  <si>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</si>
  <si>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</si>
  <si>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</si>
  <si>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</si>
  <si>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</si>
  <si>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</si>
  <si>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</si>
  <si>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</si>
  <si>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</si>
  <si>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</si>
  <si>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</si>
  <si>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</si>
  <si>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</si>
  <si>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</si>
  <si>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</si>
  <si>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</si>
  <si>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</si>
  <si>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</si>
  <si>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</si>
  <si>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</si>
  <si>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</si>
  <si>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</si>
  <si>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</si>
  <si>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</si>
  <si>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</si>
  <si>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</si>
  <si>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</si>
  <si>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</si>
  <si>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</si>
  <si>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</si>
  <si>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</si>
  <si>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</si>
  <si>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</si>
  <si>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</si>
  <si>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</si>
  <si>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</si>
  <si>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</si>
  <si>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</si>
  <si>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</si>
  <si>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</si>
  <si>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</si>
  <si>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</si>
  <si>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</si>
  <si>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</si>
  <si>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</si>
  <si>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</si>
  <si>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</si>
  <si>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</si>
  <si>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</si>
  <si>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</si>
  <si>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</si>
  <si>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</si>
  <si>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</si>
  <si>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</si>
  <si>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</si>
  <si>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</si>
  <si>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</si>
  <si>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</si>
  <si>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</si>
  <si>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</si>
  <si>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</si>
  <si>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</si>
  <si>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</si>
  <si>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</si>
  <si>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</si>
  <si>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</si>
  <si>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</si>
  <si>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</si>
  <si>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</si>
  <si>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</si>
  <si>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</si>
  <si>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</si>
  <si>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</si>
  <si>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</si>
  <si>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</si>
  <si>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</si>
  <si>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</si>
  <si>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Expected credit loss and provisioning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</si>
  <si>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</si>
  <si>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</si>
  <si>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</si>
  <si>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</si>
  <si>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</si>
  <si>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</si>
  <si>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</si>
  <si>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</si>
  <si>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</si>
  <si>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</si>
  <si>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</si>
  <si>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</si>
  <si>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</si>
  <si>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</si>
  <si>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</si>
  <si>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</si>
  <si>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</si>
  <si>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</si>
  <si>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</si>
  <si>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</si>
  <si>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</si>
  <si>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</si>
  <si>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</si>
  <si>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</si>
  <si>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</si>
  <si>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</si>
  <si>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</si>
  <si>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</si>
  <si>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</si>
  <si>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</si>
  <si>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M14</t>
  </si>
  <si>
    <t xml:space="preserve">PRA-SS1-23, OSFI-E23, US-MRM-2026</t>
  </si>
  <si>
    <t xml:space="preserve">M04, M05, M15, M16</t>
  </si>
  <si>
    <t xml:space="preserve">PRA-SS1-23, OSFI-E23</t>
  </si>
  <si>
    <t xml:space="preserve">M06, M13</t>
  </si>
  <si>
    <t xml:space="preserve">PRA-SS1-23, OSFI-E23, APRA-CPS220</t>
  </si>
  <si>
    <t xml:space="preserve">M07, M08</t>
  </si>
  <si>
    <t xml:space="preserve">M09, M10, M12</t>
  </si>
  <si>
    <t xml:space="preserve">M11</t>
  </si>
  <si>
    <t xml:space="preserve">US interagency (OCC/FRB/FDIC)</t>
  </si>
  <si>
    <t xml:space="preserve">M17</t>
  </si>
  <si>
    <t xml:space="preserve">US-MRM-2026, PRA-SS1-23, ECB-GIM</t>
  </si>
  <si>
    <t xml:space="preserve">BCBS / ECB</t>
  </si>
  <si>
    <t xml:space="preserve">M18</t>
  </si>
  <si>
    <t xml:space="preserve">BCBS-239, ECB-RDARR, APRA-CPG235, OSFI-E23</t>
  </si>
  <si>
    <t xml:space="preserve">ECB / PRA</t>
  </si>
  <si>
    <t xml:space="preserve">M19</t>
  </si>
  <si>
    <t xml:space="preserve">PRA / ECB</t>
  </si>
  <si>
    <t xml:space="preserve">M20</t>
  </si>
  <si>
    <t xml:space="preserve">M21, M22, M25</t>
  </si>
  <si>
    <t xml:space="preserve">PRA-SS1-23, US-MRM-2026, OSFI-E23, ECB-GIM</t>
  </si>
  <si>
    <t xml:space="preserve">M23</t>
  </si>
  <si>
    <t xml:space="preserve">US-MRM-2026, PRA-SS1-23</t>
  </si>
  <si>
    <t xml:space="preserve">ECB</t>
  </si>
  <si>
    <t xml:space="preserve">M24</t>
  </si>
  <si>
    <t xml:space="preserve">ECB-GIM, OSFI-E23, US-MRM-2026</t>
  </si>
  <si>
    <t xml:space="preserve">M25</t>
  </si>
  <si>
    <t xml:space="preserve">ECB-GIM, US-MRM-2026, OSFI-E23</t>
  </si>
  <si>
    <t xml:space="preserve">M26</t>
  </si>
  <si>
    <t xml:space="preserve">ECB-GIM, OSFI-E23, PRA-SS1-23</t>
  </si>
  <si>
    <t xml:space="preserve">US interagency / ECB</t>
  </si>
  <si>
    <t xml:space="preserve">M27</t>
  </si>
  <si>
    <t xml:space="preserve">US-MRM-2026, ECB-GIM, PRA-SS1-23</t>
  </si>
  <si>
    <t xml:space="preserve">M28</t>
  </si>
  <si>
    <t xml:space="preserve">PRA-SS1-23, ECB-GIM</t>
  </si>
  <si>
    <t xml:space="preserve">US interagency / OSFI</t>
  </si>
  <si>
    <t xml:space="preserve">M29</t>
  </si>
  <si>
    <t xml:space="preserve">US-MRM-2026, OSFI-E23, PRA-SS1-23</t>
  </si>
  <si>
    <t xml:space="preserve">M30</t>
  </si>
  <si>
    <t xml:space="preserve">PRA-SS1-23, US-MRM-2026</t>
  </si>
  <si>
    <t xml:space="preserve">M31</t>
  </si>
  <si>
    <t xml:space="preserve">OSFI-E23, APRA-CPS230</t>
  </si>
  <si>
    <t xml:space="preserve">US interagency / PRA</t>
  </si>
  <si>
    <t xml:space="preserve">M32, M33</t>
  </si>
  <si>
    <t xml:space="preserve">US-MRM-2026, PRA-SS1-23, BCBS-TPRM, APRA-CPS230</t>
  </si>
  <si>
    <t xml:space="preserve">FSB / BCBS</t>
  </si>
  <si>
    <t xml:space="preserve">M33</t>
  </si>
  <si>
    <t xml:space="preserve">FSB-AI-2024, BCBS-TPRM, APRA-CPS230</t>
  </si>
  <si>
    <t xml:space="preserve">M34, M35</t>
  </si>
  <si>
    <t xml:space="preserve">OSFI-E23, MAS-AIMRM-2024, BCBS-DIGI, FSB-AI-2024</t>
  </si>
  <si>
    <t xml:space="preserve">M36</t>
  </si>
  <si>
    <t xml:space="preserve">APRA-APS113, ECB-GIM, ECB-CRR, PRA-SS1-23</t>
  </si>
  <si>
    <t xml:space="preserve">BCBS</t>
  </si>
  <si>
    <t xml:space="preserve">M37</t>
  </si>
  <si>
    <t xml:space="preserve">BCBS-FVP, ECB-GIM</t>
  </si>
  <si>
    <t xml:space="preserve">M38</t>
  </si>
  <si>
    <t xml:space="preserve">APRA-APS220, APRA-APG220, BCBS-ECL-2015, APRA-PROV-2023, AASB-9</t>
  </si>
  <si>
    <t xml:space="preserve">M39</t>
  </si>
  <si>
    <t xml:space="preserve">APRA-CPS320, OSFI-E23</t>
  </si>
  <si>
    <t xml:space="preserve">No comparator — assessed against the standard's own cross-industry objective</t>
  </si>
  <si>
    <t xml:space="preserve">M40</t>
  </si>
  <si>
    <t xml:space="preserve">APRA-SPS530, APRA-SPS515</t>
  </si>
  <si>
    <t xml:space="preserve">PRA / BCBS</t>
  </si>
  <si>
    <t xml:space="preserve">M41</t>
  </si>
  <si>
    <t xml:space="preserve">BCBS-STRESS, PRA-SS3-18, APRA-CPS220</t>
  </si>
  <si>
    <t xml:space="preserve">M42</t>
  </si>
  <si>
    <t xml:space="preserve">PRA-SS1-23, ECB-GIM, US-MRM-2026, APRA-SPS114</t>
  </si>
  <si>
    <t xml:space="preserve">M43</t>
  </si>
  <si>
    <t xml:space="preserve">ECB-GIM, US-MRM-2026, APRA-CPS220</t>
  </si>
  <si>
    <t xml:space="preserve">M44</t>
  </si>
  <si>
    <t xml:space="preserve">PRA-SS1-23, US-MRM-2026, ECB-GIM, APRA-CPS220</t>
  </si>
  <si>
    <t xml:space="preserve">M45</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</si>
  <si>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</si>
  <si>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</si>
  <si>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</si>
  <si>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</si>
  <si>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</si>
  <si>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</si>
  <si>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</si>
  <si>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</si>
  <si>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</si>
  <si>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</si>
  <si>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</si>
  <si>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</si>
  <si>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</si>
  <si>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</si>
  <si>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</si>
  <si>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</si>
  <si>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</si>
  <si>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</si>
  <si>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</si>
  <si>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</si>
  <si>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</si>
  <si>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</si>
  <si>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</si>
  <si>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</si>
  <si>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</si>
  <si>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</si>
  <si>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</si>
  <si>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</si>
  <si>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</si>
  <si>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</si>
  <si>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</si>
  <si>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</si>
  <si>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</si>
  <si>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</si>
  <si>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</si>
  <si>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</si>
  <si>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</si>
  <si>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</si>
  <si>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</si>
  <si>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</si>
  <si>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</si>
  <si>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</si>
  <si>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</si>
  <si>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</si>
  <si>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</si>
  <si>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</si>
  <si>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</si>
  <si>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</si>
  <si>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</si>
  <si>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</si>
  <si>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</si>
  <si>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</si>
  <si>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</si>
  <si>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</si>
  <si>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</si>
  <si>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</si>
  <si>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</si>
  <si>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</si>
  <si>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</si>
  <si>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</si>
  <si>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</si>
  <si>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</si>
  <si>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</si>
  <si>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</si>
  <si>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</si>
  <si>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</si>
  <si>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</si>
  <si>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</si>
  <si>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</si>
  <si>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</si>
  <si>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</si>
  <si>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</si>
  <si>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financial reporting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</si>
  <si>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</si>
  <si>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</si>
  <si>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</si>
  <si>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</si>
  <si>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</si>
  <si>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</si>
  <si>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</si>
  <si>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</si>
  <si>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</si>
  <si>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</si>
  <si>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</si>
  <si>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</si>
  <si>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specific capital requirement governing approval, change and conditions of use.</t>
  </si>
  <si>
    <t xml:space="preserve">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</si>
  <si>
    <t xml:space="preserve">Connect the existing APS 220 validation obligation to the model risk framework rather than restating it, govern overlays and scenario assumptions as model risk, and publish the review focus areas so entities know what an APRA-commissioned review under the APS 220 special purpose engagements provision would examine.</t>
  </si>
  <si>
    <t xml:space="preserve">Policy + Credit Risk</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</si>
  <si>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</si>
  <si>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</si>
  <si>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</si>
  <si>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</si>
  <si>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</si>
  <si>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</si>
  <si>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</si>
  <si>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</si>
  <si>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</si>
  <si>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</si>
  <si>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</si>
  <si>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</si>
  <si>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</si>
  <si>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</si>
  <si>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</si>
  <si>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</si>
  <si>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</si>
  <si>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</si>
  <si>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</si>
  <si>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</si>
  <si>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</si>
  <si>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</si>
  <si>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</si>
  <si>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</si>
  <si>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</si>
  <si>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</si>
  <si>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</si>
  <si>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</si>
  <si>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</si>
  <si>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</si>
  <si>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</si>
  <si>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</si>
  <si>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</si>
  <si>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</si>
  <si>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</si>
  <si>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</si>
  <si>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</si>
  <si>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</si>
  <si>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</si>
  <si>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</si>
  <si>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</si>
  <si>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</si>
  <si>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</si>
  <si>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</si>
  <si>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</si>
  <si>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</si>
  <si>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</si>
  <si>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</si>
  <si>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</si>
  <si>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</si>
  <si>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</si>
  <si>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</si>
  <si>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</si>
  <si>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</si>
  <si>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</si>
  <si>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</si>
  <si>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</si>
  <si>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</si>
  <si>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</si>
  <si>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De minimis and scope relief</t>
  </si>
  <si>
    <t xml:space="preserve">No mechanism; model requirements apply only where a capital or actuarial standard reaches them.</t>
  </si>
  <si>
    <t xml:space="preserve">Models deemed immaterial may attract only identification and monitoring of the conditions under which their use could become material; the guidance also applies mainly above a $30bn entity threshold.</t>
  </si>
  <si>
    <t xml:space="preserve">Tiering determines control intensity; no separate de minimis category.</t>
  </si>
  <si>
    <t xml:space="preserve">Principle 2.3 scales scope, scale and intensity to model risk, but Principle 2.1 keeps all models within identification.</t>
  </si>
  <si>
    <t xml:space="preserve">Materiality assessment within the internal model framework; no de minimis category.</t>
  </si>
  <si>
    <t xml:space="preserve">Proportionality by use-case materiality.</t>
  </si>
  <si>
    <t xml:space="preserve">Express de minimis determination at model level, confined to identification, inventory, ownership, classification and reassessment, with prohibited classes, an aggregate test and an anti-disaggregation limb.</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</si>
  <si>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</si>
  <si>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</si>
  <si>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</si>
  <si>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</si>
  <si>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</si>
  <si>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</si>
  <si>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</si>
  <si>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</si>
  <si>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</si>
  <si>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</si>
  <si>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</si>
  <si>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</si>
  <si>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</si>
  <si>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</si>
  <si>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</si>
  <si>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</si>
  <si>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</si>
  <si>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</si>
  <si>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</si>
  <si>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</si>
  <si>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</si>
  <si>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</si>
  <si>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</si>
  <si>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</si>
  <si>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</si>
  <si>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</si>
  <si>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</si>
  <si>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</si>
  <si>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</si>
  <si>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</si>
  <si>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</si>
  <si>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</si>
  <si>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</si>
  <si>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</si>
  <si>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</si>
  <si>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</si>
  <si>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</si>
  <si>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</si>
  <si>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</si>
  <si>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</si>
  <si>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</si>
  <si>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</si>
  <si>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</si>
  <si>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</si>
  <si>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</si>
  <si>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</si>
  <si>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</si>
  <si>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</si>
  <si>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</si>
  <si>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</si>
  <si>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</si>
  <si>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</si>
  <si>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</si>
  <si>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</si>
  <si>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</si>
  <si>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</si>
  <si>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</si>
  <si>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</si>
  <si>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</si>
  <si>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</si>
  <si>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</si>
  <si>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</si>
  <si>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</si>
  <si>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</si>
  <si>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</si>
  <si>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</si>
  <si>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</si>
  <si>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</si>
  <si>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</si>
  <si>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</si>
  <si>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</si>
  <si>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</si>
  <si>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</si>
  <si>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</si>
  <si>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</si>
  <si>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</si>
  <si>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</si>
  <si>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</si>
  <si>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</si>
  <si>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</si>
  <si>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</si>
  <si>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</si>
  <si>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</si>
  <si>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</si>
  <si>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</si>
  <si>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</si>
  <si>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</si>
  <si>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</si>
  <si>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</si>
  <si>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</si>
  <si>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</si>
  <si>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</si>
  <si>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</si>
  <si>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</si>
  <si>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</si>
  <si>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</si>
  <si>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</si>
  <si>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</si>
  <si>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</si>
  <si>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</si>
  <si>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</si>
  <si>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</si>
  <si>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</si>
  <si>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</si>
  <si>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</si>
  <si>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</si>
  <si>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</si>
  <si>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</si>
  <si>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</si>
  <si>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</si>
  <si>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</si>
  <si>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</si>
  <si>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</si>
  <si>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</si>
  <si>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</si>
  <si>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</si>
  <si>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</si>
  <si>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</si>
  <si>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</si>
  <si>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</si>
  <si>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</si>
  <si>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</si>
  <si>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</si>
  <si>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</si>
  <si>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</si>
  <si>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</si>
  <si>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</si>
  <si>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</si>
  <si>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</si>
  <si>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</si>
  <si>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</si>
  <si>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</si>
  <si>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</si>
  <si>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</si>
  <si>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</si>
  <si>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</si>
  <si>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</si>
  <si>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</si>
  <si>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</si>
  <si>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</si>
  <si>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</si>
  <si>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</si>
  <si>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</si>
  <si>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</si>
  <si>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</si>
  <si>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</si>
  <si>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</si>
  <si>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</si>
  <si>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</si>
  <si>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APS 220 requires sound policies and processes to appropriately validate ECL models, sound measurement methodologies, adequate aggregate provisions and experienced credit judgement. APG 220 directs ADIs to have regard to the Basel guidance. APRA's October 2023 letter sets out observed practice.</t>
  </si>
  <si>
    <t xml:space="preserve">Not addressed as a distinct model class in the model risk guidance; ECL sits in the accounting and credit supervision streams.</t>
  </si>
  <si>
    <t xml:space="preserve">Covered where an ECL model falls within the firm's model definition; no dedicated ECL provision in SS1/23.</t>
  </si>
  <si>
    <t xml:space="preserve">Covered by the general model definition; no dedicated ECL principle.</t>
  </si>
  <si>
    <t xml:space="preserve">IFRS 9 ECL models fall within the internal models and credit risk supervisory frameworks; no dedicated chapter in the internal models guide.</t>
  </si>
  <si>
    <t xml:space="preserve">Not addressed as a distinct model class.</t>
  </si>
  <si>
    <t xml:space="preserve">Dedicated guidance: eleven principles on credit risk and accounting for expected credit losses, including Principle 5 on ECL model validation and Principles 9 to 11 on supervisory evaluation.</t>
  </si>
  <si>
    <t xml:space="preserve">Express requirement that ECL and provisioning models are within the model risk framework, with judgement-based adjustments, overlays, assumptions and scenarios governed with the same discipline as the models, and a set of review focus areas in Annex G.</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</si>
  <si>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</si>
  <si>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</si>
  <si>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</si>
  <si>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2.1 board responsibilities, covering understanding and reporting of model risk in aggregate.</t>
  </si>
  <si>
    <t xml:space="preserve">Outcome 1 requires model risk to be understood across the enterprise.</t>
  </si>
  <si>
    <t xml:space="preserve">Model risk considered in supervisory review.</t>
  </si>
  <si>
    <t xml:space="preserve">Prudent valuation guidance (CAP50) and the Pillar 3 prudent valuation template may bear on aggregate model risk adjustment and disclosure; not confirmed from primary text at the as-of date.</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</si>
  <si>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</si>
  <si>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</si>
  <si>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</si>
  <si>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</si>
  <si>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</si>
  <si>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</si>
  <si>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</si>
  <si>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</si>
  <si>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</si>
  <si>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</si>
  <si>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</si>
  <si>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</si>
  <si>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</si>
  <si>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</si>
  <si>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</si>
  <si>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</si>
  <si>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</si>
  <si>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</si>
  <si>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</si>
  <si>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</si>
  <si>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</si>
  <si>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</si>
  <si>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</si>
  <si>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</si>
  <si>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</si>
  <si>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</si>
  <si>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</si>
  <si>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</si>
  <si>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</si>
  <si>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</si>
  <si>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</si>
  <si>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</si>
  <si>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</si>
  <si>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</si>
  <si>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</si>
  <si>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</si>
  <si>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</si>
  <si>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</si>
  <si>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</si>
  <si>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</si>
  <si>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</si>
  <si>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</si>
  <si>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</si>
  <si>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</si>
  <si>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</si>
  <si>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</si>
  <si>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</si>
  <si>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</si>
  <si>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</si>
  <si>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</si>
  <si>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</si>
  <si>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</si>
  <si>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</si>
  <si>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</si>
  <si>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</si>
  <si>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</si>
  <si>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</si>
  <si>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</si>
  <si>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</si>
  <si>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</si>
  <si>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</si>
  <si>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</si>
  <si>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</si>
  <si>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</si>
  <si>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</si>
  <si>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</si>
  <si>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</si>
  <si>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</si>
  <si>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</si>
  <si>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</si>
  <si>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</si>
  <si>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</si>
  <si>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</si>
  <si>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</si>
  <si>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</si>
  <si>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</si>
  <si>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</si>
  <si>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</si>
  <si>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</si>
  <si>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</si>
  <si>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</si>
  <si>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</si>
  <si>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</si>
  <si>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</si>
  <si>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</si>
  <si>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</si>
  <si>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</si>
  <si>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</si>
  <si>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</si>
  <si>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</si>
  <si>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</si>
  <si>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</si>
  <si>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</si>
  <si>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</si>
  <si>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</si>
  <si>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</si>
  <si>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</si>
  <si>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</si>
  <si>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</si>
  <si>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</si>
  <si>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</si>
  <si>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</si>
  <si>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</si>
  <si>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</si>
  <si>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</si>
  <si>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</si>
  <si>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</si>
  <si>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</si>
  <si>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</si>
  <si>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</si>
  <si>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</si>
  <si>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</si>
  <si>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</si>
  <si>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</si>
  <si>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</si>
  <si>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</si>
  <si>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</si>
  <si>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</si>
  <si>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</si>
  <si>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</si>
  <si>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</si>
  <si>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</si>
  <si>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</si>
  <si>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</si>
  <si>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</si>
  <si>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</si>
  <si>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</si>
  <si>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</si>
  <si>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</si>
  <si>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</si>
  <si>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</si>
  <si>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</si>
  <si>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</si>
  <si>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</si>
  <si>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</si>
  <si>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</si>
  <si>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</si>
  <si>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</si>
  <si>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</si>
  <si>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</si>
  <si>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</si>
  <si>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</si>
  <si>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</si>
  <si>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</si>
  <si>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</si>
  <si>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</si>
  <si>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</si>
  <si>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</si>
  <si>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</si>
  <si>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</si>
  <si>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</si>
  <si>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</si>
  <si>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</si>
  <si>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</si>
  <si>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</si>
  <si>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</si>
  <si>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</si>
  <si>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</si>
  <si>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</si>
  <si>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</si>
  <si>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10 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</si>
  <si>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</si>
  <si>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</si>
  <si>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</si>
  <si>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</si>
  <si>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</si>
  <si>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</si>
  <si>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</si>
  <si>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</si>
  <si>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</si>
  <si>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</si>
  <si>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</si>
  <si>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BCBS-ECL-2015</t>
  </si>
  <si>
    <t xml:space="preserve">Guidance on credit risk and accounting for expected credit losses (BCBS d350)</t>
  </si>
  <si>
    <t xml:space="preserve">18 December 2015</t>
  </si>
  <si>
    <t xml:space="preserve">BIS-classified Guidelines. Supervisory guidance intended not to contradict applicable accounting standards. Domestic effect depends on implementation; in Australia APG 220 directs ADIs to have regard to it.</t>
  </si>
  <si>
    <t xml:space="preserve">Banks and banking supervisors. Written around IFRS 9-type expected credit loss accounting frameworks.</t>
  </si>
  <si>
    <t xml:space="preserve">BCBS-CR-NL-2023</t>
  </si>
  <si>
    <t xml:space="preserve">Newsletter on credit risk issues (bcbs_nl32)</t>
  </si>
  <si>
    <t xml:space="preserve">4 July 2023</t>
  </si>
  <si>
    <t xml:space="preserve">Supervisory newsletter. Not a standard and not binding.</t>
  </si>
  <si>
    <t xml:space="preserve">APRA-APS220</t>
  </si>
  <si>
    <t xml:space="preserve">APRA</t>
  </si>
  <si>
    <t xml:space="preserve">Prudential Standard APS 220 Credit Risk Management</t>
  </si>
  <si>
    <t xml:space="preserve">Current at the as-of date</t>
  </si>
  <si>
    <t xml:space="preserve">Commenced 1 January 2023</t>
  </si>
  <si>
    <t xml:space="preserve">Binding prudential standard.</t>
  </si>
  <si>
    <t xml:space="preserve">Authorised deposit-taking institutions.</t>
  </si>
  <si>
    <t xml:space="preserve">APRA-APG220</t>
  </si>
  <si>
    <t xml:space="preserve">Prudential Practice Guide APG 220 Credit Risk Management</t>
  </si>
  <si>
    <t xml:space="preserve">Prudential practice guide. Non-enforceable guidance.</t>
  </si>
  <si>
    <t xml:space="preserve">ADIs implementing APS 220.</t>
  </si>
  <si>
    <t xml:space="preserve">APRA-PROV-2023</t>
  </si>
  <si>
    <t xml:space="preserve">Letter — Credit risk provisioning practices for locally incorporated authorised deposit-taking institutions</t>
  </si>
  <si>
    <t xml:space="preserve">19 October 2023</t>
  </si>
  <si>
    <t xml:space="preserve">Letter to industry. Supervisory observations and expectations; not a prudential standard.</t>
  </si>
  <si>
    <t xml:space="preserve">Locally incorporated ADIs.</t>
  </si>
  <si>
    <t xml:space="preserve">AASB-9</t>
  </si>
  <si>
    <t xml:space="preserve">AASB</t>
  </si>
  <si>
    <t xml:space="preserve">AASB 9 Financial Instruments</t>
  </si>
  <si>
    <t xml:space="preserve">Australian Accounting Standard. Binding for financial reporting purposes under the Corporations Act; not a prudential instrument.</t>
  </si>
  <si>
    <t xml:space="preserve">Entities preparing financial statements under Australian Accounting Standards.</t>
  </si>
  <si>
    <t xml:space="preserve">APRA-CPG110</t>
  </si>
  <si>
    <t xml:space="preserve">Prudential Practice Guide CPG 110 Internal Capital Adequacy Assessment Process and Supervisory Review</t>
  </si>
  <si>
    <t xml:space="preserve">APRA-regulated entities conducting an ICAAP.</t>
  </si>
  <si>
    <t xml:space="preserve">APRA-CPS001</t>
  </si>
  <si>
    <t xml:space="preserve">Prudential Standard CPS 001 Defined terms</t>
  </si>
  <si>
    <t xml:space="preserve">In force at the as-of date</t>
  </si>
  <si>
    <t xml:space="preserve">APRA-regulated entities, as the source of cross-industry defined terms.</t>
  </si>
  <si>
    <t xml:space="preserve">APRA-CPS220</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</si>
  <si>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</si>
  <si>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</si>
  <si>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</si>
  <si>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</si>
  <si>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</si>
  <si>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</si>
  <si>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</si>
  <si>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</si>
  <si>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</si>
  <si>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</si>
  <si>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</si>
  <si>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</si>
  <si>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</si>
  <si>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</si>
  <si>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</si>
  <si>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</si>
  <si>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</si>
  <si>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</si>
  <si>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</si>
  <si>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</si>
  <si>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</si>
  <si>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</si>
  <si>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</si>
  <si>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</si>
  <si>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</si>
  <si>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</si>
  <si>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</si>
  <si>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</si>
  <si>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</si>
  <si>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</si>
  <si>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</si>
  <si>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</si>
  <si>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</si>
  <si>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</si>
  <si>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APRA-HPS110</t>
  </si>
  <si>
    <t xml:space="preserve">Prudential Standard HPS 110 Capital Adequacy (private health insurance)</t>
  </si>
  <si>
    <t xml:space="preserve">Private health insurers.</t>
  </si>
  <si>
    <t xml:space="preserve">APRA-SPS114</t>
  </si>
  <si>
    <t xml:space="preserve">Prudential Standard SPS 114 Operational Risk Financial Requirement</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</si>
  <si>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</si>
  <si>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</si>
  <si>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</si>
  <si>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</si>
  <si>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</si>
  <si>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</si>
  <si>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</si>
  <si>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</si>
  <si>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</si>
  <si>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</si>
  <si>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</si>
  <si>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</si>
  <si>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</si>
  <si>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</si>
  <si>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</si>
  <si>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</si>
  <si>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</si>
  <si>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</si>
  <si>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</si>
  <si>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</si>
  <si>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</si>
  <si>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</si>
  <si>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</si>
  <si>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</si>
  <si>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</si>
  <si>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</si>
  <si>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</si>
  <si>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</si>
  <si>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</si>
  <si>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</si>
  <si>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</si>
  <si>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</si>
  <si>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</si>
  <si>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and whose output does not determine a regulatory figure, a reported valuation or an amount attributable to a customer or beneficiary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</si>
  <si>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</si>
  <si>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</si>
  <si>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</si>
  <si>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</si>
  <si>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</si>
  <si>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</si>
  <si>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</si>
  <si>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</si>
  <si>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</si>
  <si>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</si>
  <si>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28–29</t>
  </si>
  <si>
    <t xml:space="preserve">M05</t>
  </si>
  <si>
    <t xml:space="preserve">De minimis models</t>
  </si>
  <si>
    <t xml:space="preserve">An APRA-regulated entity may determine that a model is de minimis, and apply to that model only the identification, inventory, ownership, classification and reassessment requirements of this Prudential Standard, where the entity has assessed and documented that an error in, or misuse of, the model could not have a material effect on its financial position, its regulatory obligations, its critical operations, or amounts or entitlements attributable to its customers or beneficiaries. The entity must record the determination and the reasoning for it, approve it at an authority commensurate with the risk, assess whether models individually determined to be de minimis are material in aggregate, and reassess each determination on the occurrence of a trigger event and at a frequency set out in its model risk policy.</t>
  </si>
  <si>
    <t xml:space="preserve">OSFI-E23, PRA-SS1-23, US-MRM-2026, APRA-CPS220</t>
  </si>
  <si>
    <t xml:space="preserve">Each comparator relieves low-consequence models of the full lifecycle while keeping them within identification. The 2026 US guidance states that where models are deemed immaterial, model risk management may consist of identifying those models and monitoring the conditions under which their use may become material. OSFI reaches the same result through Principles 2.1 and 2.3. The aggregate test, the prohibited classes and the anti-disaggregation limb are drafting choices that close the obvious routes to misuse of the exception.</t>
  </si>
  <si>
    <t xml:space="preserve">Yes</t>
  </si>
  <si>
    <t xml:space="preserve">OSFI E-23 (2027) Principle 2.3 (scope, scale and intensity commensurate with model risk) read with Principle 2.1 (identify and track all models); PRA SS1/23 Principle 1.3 Model tiering; US interagency guidance 2026 §III (models deemed immaterial)</t>
  </si>
  <si>
    <t xml:space="preserve">22–27</t>
  </si>
  <si>
    <t xml:space="preserve">M06</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</si>
  <si>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</si>
  <si>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</si>
  <si>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</si>
  <si>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</si>
  <si>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</si>
  <si>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32–33, 35</t>
  </si>
  <si>
    <t xml:space="preserve">M07</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</si>
  <si>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</si>
  <si>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</si>
  <si>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</si>
  <si>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PRA SS1/23 Principle 2 (senior management function accountability); OSFI E-23 accountability</t>
  </si>
  <si>
    <t xml:space="preserve">36–37</t>
  </si>
  <si>
    <t xml:space="preserve">M08</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</si>
  <si>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</si>
  <si>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 Where development, validation, approval or monitoring is performed by another member of the entity's group or by a related body corporate, the entity must satisfy itself that the work meets the requirements of this Prudential Standard and must retain the ability to direct, challenge and obtain evidence of it.</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</si>
  <si>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</si>
  <si>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</si>
  <si>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</si>
  <si>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38–39</t>
  </si>
  <si>
    <t xml:space="preserve">M09</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</si>
  <si>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</si>
  <si>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</si>
  <si>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</si>
  <si>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</si>
  <si>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</si>
  <si>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</si>
  <si>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40–42</t>
  </si>
  <si>
    <t xml:space="preserve">M10</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</si>
  <si>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</si>
  <si>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</si>
  <si>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</si>
  <si>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</si>
  <si>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</si>
  <si>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</si>
  <si>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</si>
  <si>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43–44</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</si>
  <si>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</si>
  <si>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</si>
  <si>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</si>
  <si>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</si>
  <si>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</si>
  <si>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45–47</t>
  </si>
  <si>
    <t xml:space="preserve">M12</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</si>
  <si>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</si>
  <si>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</si>
  <si>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</si>
  <si>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</si>
  <si>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48–49</t>
  </si>
  <si>
    <t xml:space="preserve">M13</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</si>
  <si>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</si>
  <si>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</si>
  <si>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</si>
  <si>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</si>
  <si>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</si>
  <si>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</si>
  <si>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33–34, 87</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</si>
  <si>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</si>
  <si>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</si>
  <si>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</si>
  <si>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</si>
  <si>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</si>
  <si>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</si>
  <si>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</si>
  <si>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24, 50–54</t>
  </si>
  <si>
    <t xml:space="preserve">M15</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</si>
  <si>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</si>
  <si>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</si>
  <si>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</si>
  <si>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</si>
  <si>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</si>
  <si>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</si>
  <si>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</si>
  <si>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M16</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</si>
  <si>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</si>
  <si>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</si>
  <si>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</si>
  <si>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</si>
  <si>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</si>
  <si>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27, 30–31</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</si>
  <si>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</si>
  <si>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</si>
  <si>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</si>
  <si>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</si>
  <si>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</si>
  <si>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</si>
  <si>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</si>
  <si>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55–58</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</si>
  <si>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</si>
  <si>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</si>
  <si>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</si>
  <si>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</si>
  <si>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</si>
  <si>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59–62</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</si>
  <si>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</si>
  <si>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</si>
  <si>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</si>
  <si>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</si>
  <si>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</si>
  <si>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</si>
  <si>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63–64</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</si>
  <si>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</si>
  <si>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</si>
  <si>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</si>
  <si>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</si>
  <si>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</si>
  <si>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65–67</t>
  </si>
  <si>
    <t xml:space="preserve">M21</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</si>
  <si>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</si>
  <si>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</si>
  <si>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</si>
  <si>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</si>
  <si>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</si>
  <si>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75</t>
  </si>
  <si>
    <t xml:space="preserve">M22</t>
  </si>
  <si>
    <t xml:space="preserve">Scope of validation</t>
  </si>
  <si>
    <t xml:space="preserve">Validation of a model must address conceptual soundness, outcomes analysis comparing model outputs with corresponding actual outcomes to the extent those outcomes are observable and sufficient for the purpose, and ongoing model monitoring,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</si>
  <si>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</si>
  <si>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</si>
  <si>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68–71</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</si>
  <si>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</si>
  <si>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</si>
  <si>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</si>
  <si>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72–74</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</si>
  <si>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</si>
  <si>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</si>
  <si>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</si>
  <si>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</si>
  <si>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</si>
  <si>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76–78</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</si>
  <si>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</si>
  <si>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</si>
  <si>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</si>
  <si>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</si>
  <si>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</si>
  <si>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</si>
  <si>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70, 79–80</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</si>
  <si>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</si>
  <si>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</si>
  <si>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</si>
  <si>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</si>
  <si>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</si>
  <si>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81–82, 105</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</si>
  <si>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</si>
  <si>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</si>
  <si>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</si>
  <si>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</si>
  <si>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</si>
  <si>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83–84</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</si>
  <si>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</si>
  <si>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</si>
  <si>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</si>
  <si>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</si>
  <si>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85–87, 123–125</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</si>
  <si>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</si>
  <si>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</si>
  <si>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</si>
  <si>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</si>
  <si>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</si>
  <si>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88–90</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</si>
  <si>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</si>
  <si>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 On identifying a material model error or failure, the entity must determine its cause, assess whether the same weakness affects other models, and assess and address the effect on decisions, figures, balances and amounts attributable to customers or beneficiaries that the model has already produced.</t>
  </si>
  <si>
    <t xml:space="preserve">Model risk mitigants including restrictions, adjustments and remediation are the subject of a named PRA principle.</t>
  </si>
  <si>
    <t xml:space="preserve">PRA SS1/23 Principle 5 (model risk mitigants); OSFI E-23 issue management</t>
  </si>
  <si>
    <t xml:space="preserve">78, 91–92</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</si>
  <si>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</si>
  <si>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</si>
  <si>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 Where a model in the entity's highest risk tier is material to a decision or figure, the entity must identify and periodically assess the alternative basis on which that decision or figure would be determined if the model were unavailable.</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</si>
  <si>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</si>
  <si>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</si>
  <si>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</si>
  <si>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93–94</t>
  </si>
  <si>
    <t xml:space="preserve">M32</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</si>
  <si>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</si>
  <si>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</si>
  <si>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</si>
  <si>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</si>
  <si>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</si>
  <si>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</si>
  <si>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</si>
  <si>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75, 95–97</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</si>
  <si>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</si>
  <si>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</si>
  <si>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</si>
  <si>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</si>
  <si>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</si>
  <si>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98–100</t>
  </si>
  <si>
    <t xml:space="preserve">M34</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</si>
  <si>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</si>
  <si>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</si>
  <si>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</si>
  <si>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</si>
  <si>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</si>
  <si>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</si>
  <si>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62, 101–106</t>
  </si>
  <si>
    <t xml:space="preserve">M35</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</si>
  <si>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</si>
  <si>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</si>
  <si>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</si>
  <si>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</si>
  <si>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</si>
  <si>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</si>
  <si>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107–109</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</si>
  <si>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</si>
  <si>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</si>
  <si>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</si>
  <si>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prudential standard requires that approval, and must ensure the model is used in the entity's internal risk management to the extent the applicable prudential standard so requires.</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</si>
  <si>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</si>
  <si>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</si>
  <si>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110–111</t>
  </si>
  <si>
    <t xml:space="preserve">23. Valuation and financial reporting models</t>
  </si>
  <si>
    <t xml:space="preserve">An APRA-regulated entity must apply this Prudential Standard to models used to value assets and liabilities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</si>
  <si>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</si>
  <si>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</si>
  <si>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</si>
  <si>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112–113</t>
  </si>
  <si>
    <t xml:space="preserve">23A. Expected credit loss and provisioning models</t>
  </si>
  <si>
    <t xml:space="preserve">An APRA-regulated entity must apply this Prudential Standard to models used to assess and measure expected credit losses and to determine provisions, and must govern the judgement-based adjustments, overlays and post-model adjustments applied to modelled expected credit losses, and the assumptions and scenarios on which those models depend, with the same discipline as the models themselves.</t>
  </si>
  <si>
    <t xml:space="preserve">APS 220 transposes BCBS d350 Principle 5 into binding Australian form in near-identical language, and APG 220 expressly directs ADIs to have regard to the Basel guidance. The obligation to validate expected credit loss models therefore already exists; what is missing is the model risk framework that gives it content. This paragraph connects the two.</t>
  </si>
  <si>
    <t xml:space="preserve">BCBS d350 Principle 5 (ECL model validation), read with Principles 2, 4, 6 and 7; APS 220, Credit risk and accounting for expected credit losses; APG 220, which directs ADIs to have regard to the Basel guidance</t>
  </si>
  <si>
    <t xml:space="preserve">120–131</t>
  </si>
  <si>
    <t xml:space="preserve">24. Actuarial and insurance models</t>
  </si>
  <si>
    <t xml:space="preserve">Actuarial, reserving and insurance liability models</t>
  </si>
  <si>
    <t xml:space="preserve">An APRA-regulated insurer, including a private health insurer, must apply this Prudential Standard to models used to determine insurance liabilities, including deferred claims liabilities and, for a private health insurer, amounts arising under the risk equalisation arrangements, and to models used to determine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</si>
  <si>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APRA-HPS110,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</si>
  <si>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</si>
  <si>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</si>
  <si>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114–115</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</si>
  <si>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</si>
  <si>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</si>
  <si>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</si>
  <si>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</si>
  <si>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</si>
  <si>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</si>
  <si>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</si>
  <si>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116–117, 126–127</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</si>
  <si>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</si>
  <si>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</si>
  <si>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</si>
  <si>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</si>
  <si>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</si>
  <si>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</si>
  <si>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118–119</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</si>
  <si>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</si>
  <si>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</si>
  <si>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</si>
  <si>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</si>
  <si>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</si>
  <si>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</si>
  <si>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</si>
  <si>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47, 135–137</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</si>
  <si>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</si>
  <si>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</si>
  <si>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</si>
  <si>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</si>
  <si>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</si>
  <si>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138–139</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</si>
  <si>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</si>
  <si>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</si>
  <si>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</si>
  <si>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</si>
  <si>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</si>
  <si>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74, 140–141</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</si>
  <si>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</si>
  <si>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</si>
  <si>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 Where APRA requires an entity, under a prudential standard or other instrument conferring that power, to appoint an independent party to review and report to APRA on its models or its model risk management, or on its credit risk management including its provisioning practices, the entity must support that review and provide the reviewer with access to the models, data, documentation, systems and personnel the review requires.</t>
  </si>
  <si>
    <t xml:space="preserve">APRA-CPS230, APRA-CPS234, APRA-CPS220, APRA-APS220,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</si>
  <si>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</si>
  <si>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</si>
  <si>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</si>
  <si>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130–134, 142–143</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</si>
  <si>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</si>
  <si>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</si>
  <si>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</si>
  <si>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</si>
  <si>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</si>
  <si>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</si>
  <si>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</si>
  <si>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</si>
  <si>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</si>
  <si>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</si>
  <si>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</si>
  <si>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</si>
  <si>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Pass as policy proposal — consult and cost-benefit test</t>
  </si>
  <si>
    <t xml:space="preserve">Conditional pass — legal drafting required</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</si>
  <si>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</si>
  <si>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</si>
  <si>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</si>
  <si>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</si>
  <si>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</si>
  <si>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</si>
  <si>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</si>
  <si>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</si>
  <si>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</si>
  <si>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</si>
  <si>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</si>
  <si>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</si>
  <si>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</si>
  <si>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</si>
  <si>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</si>
  <si>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</si>
  <si>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</si>
  <si>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</si>
  <si>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</si>
  <si>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</si>
  <si>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</si>
  <si>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</si>
  <si>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</si>
  <si>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</si>
  <si>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</si>
  <si>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</si>
  <si>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</si>
  <si>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</si>
  <si>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</si>
  <si>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</si>
  <si>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</si>
  <si>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</si>
  <si>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</si>
  <si>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</si>
  <si>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</si>
  <si>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</si>
  <si>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</si>
  <si>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</si>
  <si>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</si>
  <si>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</si>
  <si>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</si>
  <si>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</si>
  <si>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M32</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</si>
  <si>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</si>
  <si>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</si>
  <si>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</si>
  <si>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M15</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</si>
  <si>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</si>
  <si>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</si>
  <si>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</si>
  <si>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</si>
  <si>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</si>
  <si>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CPS XXXX permits an entity to determine that a model is de minimis and to apply to it only the identification, inventory, ownership, classification and reassessment requirements. The determination turns on consequence: whether the entity could be materially wrong, or materially unfair to a customer or beneficiary, if the model were wrong and the error went undetected.</t>
  </si>
  <si>
    <t xml:space="preserve">It is not a determination about size, complexity, cost or how long a model has been in use. A simple model that has run without incident for a decade is not de minimis if an error in it would misstate a provision. Conversely a sophisticated model used to prioritise internal workflow may well be.</t>
  </si>
  <si>
    <t xml:space="preserve">Source: US interagency guidance 2026 §III, which states that where models are deemed immaterial, model risk management may consist of identifying those models and monitoring the conditions under which their use may become material [SE]. OSFI Guideline E-23 (2027) Principle 2.3, read with Principle 2.1 [SE]. PRA SS1/23 Principle 1.3 Model tiering [SE].</t>
  </si>
  <si>
    <t xml:space="preserve">A de minimis model stays in the inventory. That is the point on which the exception depends: an entity that has removed a model from the inventory cannot demonstrate that the determination was ever made, still less that it remains correct. Entities should treat the de minimis population as a reportable category rather than as an absence.</t>
  </si>
  <si>
    <t xml:space="preserve">M05, M14</t>
  </si>
  <si>
    <t xml:space="preserve">Certain models cannot be de minimis whatever the entity's assessment. These are models determining a regulatory capital requirement, a provision, a technical or insurance liability, a valuation reported in the financial statements, a unit price or another amount attributable to a customer or beneficiary, and models supporting a critical operation. The consequence of error in these classes is realised directly and is frequently irreversible.</t>
  </si>
  <si>
    <t xml:space="preserve">Two failure modes deserve specific attention. The first is aggregation: models that are individually immaterial can matter collectively, particularly where they feed the same process, share a data source or rest on a common assumption. The entity should examine the population, not only the individual determinations. The second is disaggregation: splitting a model so that each component falls below the threshold, which defeats the exception rather than satisfying it.</t>
  </si>
  <si>
    <t xml:space="preserve">A determination attaches to a use, not to a model in the abstract. Where a model that was de minimis for one purpose begins to be relied on for another, the determination should be revisited before the new use begins rather than at the next scheduled review.</t>
  </si>
  <si>
    <t xml:space="preserve">M05, M16</t>
  </si>
  <si>
    <t xml:space="preserve">Verification: the de minimis mechanism is drawn from the treatment of immaterial models in the 2026 United States interagency guidance and from OSFI Principles 2.1 and 2.3, which relieve low-risk models of the full lifecycle while keeping them within identification. The prohibited classes, the aggregate test and the anti-disaggregation limb are Australian drafting choices and are identified as a policy design choice in the assessment workbook.</t>
  </si>
  <si>
    <t xml:space="preserve">Reduced controls should be a decision rather than an omission. An exception should identify the provision of the entity's own policies or standards not being met, the reason, the compensating control, the approver, the expiry date and the review point. It cannot except the entity from a requirement of CPS XXXX: only APRA may do that, under paragraph A5.</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</si>
  <si>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</si>
  <si>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</si>
  <si>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</si>
  <si>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</si>
  <si>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</si>
  <si>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</si>
  <si>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</si>
  <si>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</si>
  <si>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</si>
  <si>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</si>
  <si>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</si>
  <si>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</si>
  <si>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</si>
  <si>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</si>
  <si>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</si>
  <si>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</si>
  <si>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</si>
  <si>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</si>
  <si>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</si>
  <si>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</si>
  <si>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</si>
  <si>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</si>
  <si>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</si>
  <si>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</si>
  <si>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</si>
  <si>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</si>
  <si>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</si>
  <si>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</si>
  <si>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M11, M42</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</si>
  <si>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</si>
  <si>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</si>
  <si>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</si>
  <si>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</si>
  <si>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</si>
  <si>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</si>
  <si>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</si>
  <si>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</si>
  <si>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</si>
  <si>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</si>
  <si>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</si>
  <si>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</si>
  <si>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</si>
  <si>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</si>
  <si>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</si>
  <si>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</si>
  <si>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</si>
  <si>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</si>
  <si>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</si>
  <si>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</si>
  <si>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</si>
  <si>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</si>
  <si>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</si>
  <si>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M18, M34</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</si>
  <si>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</si>
  <si>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</si>
  <si>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</si>
  <si>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</si>
  <si>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</si>
  <si>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</si>
  <si>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</si>
  <si>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</si>
  <si>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</si>
  <si>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</si>
  <si>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</si>
  <si>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</si>
  <si>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M22, M25</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</si>
  <si>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</si>
  <si>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</si>
  <si>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</si>
  <si>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</si>
  <si>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</si>
  <si>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</si>
  <si>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M23, M44</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</si>
  <si>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</si>
  <si>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M21, M32</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</si>
  <si>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</si>
  <si>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</si>
  <si>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</si>
  <si>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</si>
  <si>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M24, M30</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</si>
  <si>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</si>
  <si>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</si>
  <si>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</si>
  <si>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</si>
  <si>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</si>
  <si>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</si>
  <si>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</si>
  <si>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</si>
  <si>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</si>
  <si>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</si>
  <si>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</si>
  <si>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</si>
  <si>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</si>
  <si>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</si>
  <si>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M28, M13</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</si>
  <si>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</si>
  <si>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</si>
  <si>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</si>
  <si>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</si>
  <si>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</si>
  <si>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</si>
  <si>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</si>
  <si>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</si>
  <si>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</si>
  <si>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</si>
  <si>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</si>
  <si>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</si>
  <si>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</si>
  <si>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</si>
  <si>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</si>
  <si>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</si>
  <si>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</si>
  <si>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</si>
  <si>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</si>
  <si>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</si>
  <si>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</si>
  <si>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</si>
  <si>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</si>
  <si>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</si>
  <si>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</si>
  <si>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systematic differences in model performance across segments of the population to which the model is applied,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</si>
  <si>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</si>
  <si>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</si>
  <si>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</si>
  <si>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</si>
  <si>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M34, M26</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</si>
  <si>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</si>
  <si>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</si>
  <si>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</si>
  <si>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</si>
  <si>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</si>
  <si>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</si>
  <si>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</si>
  <si>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</si>
  <si>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</si>
  <si>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</si>
  <si>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</si>
  <si>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</si>
  <si>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</si>
  <si>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</si>
  <si>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</si>
  <si>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</si>
  <si>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</si>
  <si>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</si>
  <si>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</si>
  <si>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</si>
  <si>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</si>
  <si>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Expected credit loss models occupy a distinctive position. For most models the output informs a decision that a person then makes; for an expected credit loss model the output is the provision itself. An error is realised immediately in the financial statements, in regulatory capital and in the reported credit quality of the portfolio, and it is realised at the level of the aggregate rather than one exposure at a time.</t>
  </si>
  <si>
    <t xml:space="preserve">The Australian obligation already exists and is binding. APS 220 requires an ADI to have sound policies and processes in place to appropriately validate models used to assess and measure expected credit losses, to adopt sound methodologies for assessing and measuring credit losses, to hold aggregate provisions that are adequate and consistent with the objectives of Australian Accounting Standards, and to use experienced credit judgement in the robust consideration of reasonable and supportable forward-looking information.</t>
  </si>
  <si>
    <t xml:space="preserve">Source: APS 220, Credit risk and accounting for expected credit losses [B]. APG 220, which states that the Basel Committee's Guidance on credit risk and accounting for expected credit losses of 18 December 2015 sets out guidance on sound credit risk practices and that APRA expects ADIs to have regard to it [G]. BCBS d350 [G].</t>
  </si>
  <si>
    <t xml:space="preserve">Verification: the APS 220 obligation to validate expected credit loss models is a near-verbatim transposition of BCBS d350 Principle 5, which reads 'A bank should have policies and procedures in place to appropriately validate models used to assess and measure expected credit losses.' Both texts were read in the primary instruments. This is one of the few domains in which the Australian framework already carries an international model risk principle in binding form.</t>
  </si>
  <si>
    <t xml:space="preserve">What APS 220 does not supply is the content of that validation — what it consists of, who may perform it, how often, and what follows when it finds something. CPS XXXX supplies exactly that. The two are complementary and cumulative: APS 220 states the obligation, this Prudential Standard states the discipline, and an ADI complies with both. Neither reads down the other, so where this Prudential Standard requires more of a model than APS 220 does, the higher obligation is the one to meet. The formal interaction between the two instruments is a matter for settlement on consultation and is recorded in Annex F.</t>
  </si>
  <si>
    <t xml:space="preserve">APRA has observed that many ADIs continue to apply sizeable judgement-based adjustments to compensate for model and data limitations. Adjustments have a legitimate role: models alone may not be calibrated to capture every driver of credit risk, particularly where conditions have moved outside the estimation window. But an overlay is a statement that the model is wrong, and it should be governed as such.</t>
  </si>
  <si>
    <t xml:space="preserve">M38, M28</t>
  </si>
  <si>
    <t xml:space="preserve">Source: APRA, Credit risk provisioning practices for locally incorporated authorised deposit-taking institutions, 19 October 2023 [G]. BCBS Newsletter on credit risk issues, 4 July 2023 [A].</t>
  </si>
  <si>
    <t xml:space="preserve">Where judgemental adjustments are made, APRA expects them to be supported by documented analysis and robust controls and governance, including sound processes for their application, controls over the efficacy of the output, and senior management oversight and accountabilities. An entity should also be able to show that it is monitoring and improving model performance rather than allowing overlays to become a permanent substitute for recalibration.</t>
  </si>
  <si>
    <t xml:space="preserve">The practical test is direction and persistence. An overlay applied in the same direction across successive reporting periods is evidence that the model no longer reflects the exposure. A reviewer would expect to see either a redevelopment plan or a reasoned explanation of why the condition being corrected is genuinely temporary.</t>
  </si>
  <si>
    <t xml:space="preserve">Sensitivity analysis is how an entity demonstrates that it understands what its provision depends on. APRA expects comprehensive sensitivity analysis to be performed on a regular and timely basis across credit portfolios, segmented by industry, geography and other relevant dimensions, so that management and the Board can see how provisions respond to changes in the key underlying drivers of credit risk.</t>
  </si>
  <si>
    <t xml:space="preserve">M38, M40</t>
  </si>
  <si>
    <t xml:space="preserve">This analysis can form part of the entity's broader stress testing capability and inform the internal capital adequacy assessment process and risk appetite review. The same governance expectations apply to it as to the models: clear accountabilities, robust controls and oversight over both the process and the decisions taken from it.</t>
  </si>
  <si>
    <t xml:space="preserve">Source: APRA provisioning letter, 19 October 2023 [G]. CPG 110 Internal Capital Adequacy Assessment Process and Supervisory Review [G].</t>
  </si>
  <si>
    <t xml:space="preserve">APRA has observed that many ADIs continue to rely on manually intensive and judgement-driven processes to capture the effect of emerging risks on vulnerable borrowers and sectors, and has encouraged investment in systematic processes that identify vulnerable sectors and factor sectoral risk into loss estimates.</t>
  </si>
  <si>
    <t xml:space="preserve">Three things carry most of the weight here: the use of collective assessments, the level of segmentation in the models and the data behind them, and the indicators used to transfer exposures in vulnerable sectors into Stage 2 under AASB 9. The staging decision is a modelled judgement with a direct and often large effect on the reported provision, and it should be validated with that in mind.</t>
  </si>
  <si>
    <t xml:space="preserve">Annex G of CPS XXXX sets out the focus areas APRA would expect a review of expected credit loss models to cover. They are drawn from APRA's own published observations on provisioning practice, from the requirements of APS 220, and from the Basel guidance that APG 220 directs ADIs to have regard to.</t>
  </si>
  <si>
    <t xml:space="preserve">M38, M45</t>
  </si>
  <si>
    <t xml:space="preserve">The focus areas are not a checklist to be completed. A review that confirms each item exists without forming a view on whether the provision is right will not have answered the question. The purpose of each area is to test whether the number the entity has reported is supportable.</t>
  </si>
  <si>
    <t xml:space="preserve">APS 220 contains a Special purpose engagements provision under which APRA may require an ADI to appoint an independent party to review and provide a report to APRA on all or a particular aspect of the ADI's credit risk management, including provisioning practices. APRA may request such a report without prior consultation with the ADI, may set the terms of the review, and may do so at the ADI's expense.</t>
  </si>
  <si>
    <t xml:space="preserve">Source: APS 220, Special purpose engagements [B]. The provision is quoted in full in Annex G of CPS XXXX.</t>
  </si>
  <si>
    <t xml:space="preserve">A review of expected credit loss models along the lines set out in Annex G is precisely the kind of engagement that provision contemplates, and entities should expect that APRA may commission one on that basis. The terms of reference would be set by APRA rather than negotiated, and the report would be provided to APRA.</t>
  </si>
  <si>
    <t xml:space="preserve">An entity that maintains its expected credit loss models in accordance with this Prudential Standard should be able to support such an engagement from existing records rather than by assembling evidence in response to it. Where an entity could not, that is itself informative about the state of its model risk management.</t>
  </si>
  <si>
    <t xml:space="preserve">Verification: the Special purpose engagements provision was read verbatim from APS 220. Paragraph numbers are not asserted because the published rendering of the standard used for verification does not carry them; the provision is cited by its section heading. The proposition that APRA may commission an expected credit loss model review under it is a reading of the provision's express words, which extend to 'all or a particular aspect of the ADI's credit risk management, including provisioning practices'.</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</si>
  <si>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</si>
  <si>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</si>
  <si>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2.1 Board of directors' responsibilities, which covers understanding and reporting of model risk both individually and in aggregate [SE]. US interagency guidance 2026 §III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</si>
  <si>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</si>
  <si>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</si>
  <si>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</si>
  <si>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</si>
  <si>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</si>
  <si>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</si>
  <si>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</si>
  <si>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</si>
  <si>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</si>
  <si>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</si>
  <si>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</si>
  <si>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</si>
  <si>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</si>
  <si>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</si>
  <si>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</si>
  <si>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</si>
  <si>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</si>
  <si>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</si>
  <si>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</si>
  <si>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</si>
  <si>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</si>
  <si>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</si>
  <si>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</si>
  <si>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</si>
  <si>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</si>
  <si>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</si>
  <si>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</si>
  <si>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</si>
  <si>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</si>
  <si>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</si>
  <si>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</si>
  <si>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</si>
  <si>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</si>
  <si>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</si>
  <si>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</si>
  <si>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</si>
  <si>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</si>
  <si>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</si>
  <si>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</si>
  <si>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</si>
  <si>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</si>
  <si>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</si>
  <si>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</si>
  <si>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</si>
  <si>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</si>
  <si>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</si>
  <si>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</si>
  <si>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</si>
  <si>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</si>
  <si>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</si>
  <si>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</si>
  <si>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</si>
  <si>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</si>
  <si>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</si>
  <si>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</si>
  <si>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</si>
  <si>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</si>
  <si>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</si>
  <si>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</si>
  <si>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</si>
  <si>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</si>
  <si>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</si>
  <si>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</si>
  <si>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</si>
  <si>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</si>
  <si>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</si>
  <si>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</si>
  <si>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</si>
  <si>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</si>
  <si>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</si>
  <si>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</si>
  <si>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</si>
  <si>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</si>
  <si>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</si>
  <si>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</si>
  <si>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</si>
  <si>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</si>
  <si>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</si>
  <si>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</si>
  <si>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</si>
  <si>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</si>
  <si>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</si>
  <si>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</si>
  <si>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</si>
  <si>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</si>
  <si>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</si>
  <si>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</si>
  <si>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</si>
  <si>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</si>
  <si>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</si>
  <si>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</si>
  <si>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</si>
  <si>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</si>
  <si>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</si>
  <si>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</si>
  <si>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</si>
  <si>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</si>
  <si>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</si>
  <si>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</si>
  <si>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</si>
  <si>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</si>
  <si>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</si>
  <si>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</si>
  <si>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</si>
  <si>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</si>
  <si>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</si>
  <si>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</si>
  <si>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</si>
  <si>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</si>
  <si>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</si>
  <si>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</si>
  <si>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</si>
  <si>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</si>
  <si>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</si>
  <si>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</si>
  <si>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</si>
  <si>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</si>
  <si>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</si>
  <si>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</si>
  <si>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</si>
  <si>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</si>
  <si>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</si>
  <si>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</si>
  <si>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</si>
  <si>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</si>
  <si>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</si>
  <si>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</si>
  <si>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</si>
  <si>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</si>
  <si>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</si>
  <si>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</si>
  <si>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</si>
  <si>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</si>
  <si>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</si>
  <si>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</si>
  <si>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</si>
  <si>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</si>
  <si>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</si>
  <si>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</si>
  <si>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</si>
  <si>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</si>
  <si>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</si>
  <si>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</si>
  <si>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</si>
  <si>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</si>
  <si>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</si>
  <si>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</si>
  <si>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</si>
  <si>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</si>
  <si>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</si>
  <si>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</si>
  <si>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</si>
  <si>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</si>
  <si>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</si>
  <si>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</si>
  <si>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</si>
  <si>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</si>
  <si>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</si>
  <si>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</si>
  <si>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</si>
  <si>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</si>
  <si>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</si>
  <si>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</si>
  <si>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</si>
  <si>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</si>
  <si>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</si>
  <si>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</si>
  <si>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</si>
  <si>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</si>
  <si>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</si>
  <si>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</si>
  <si>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</si>
  <si>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</si>
  <si>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</si>
  <si>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</si>
  <si>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</si>
  <si>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Guidance on credit risk and accounting for expected credit losses (d350, 18 December 2015)</t>
  </si>
  <si>
    <t xml:space="preserve">A bank's board of directors (or equivalent) and senior management are responsible for ensuring that the bank has appropriate credit risk practices, including an effective system of internal control, to consistently determine adequate allowances in accordance with the bank's stated policies and procedures, the applicable accounting framework and relevant supervisory guidance.</t>
  </si>
  <si>
    <t xml:space="preserve">A bank should adopt, document and adhere to sound methodologies that address policies, procedures and controls for assessing and measuring credit risk on all lending exposures. The measurement of allowances should build upon those robust methodologies and result in the appropriate and timely recognition of expected credit losses in accordance with the applicable accounting framework.</t>
  </si>
  <si>
    <t xml:space="preserve">A bank should have a credit risk rating process in place to appropriately group lending exposures on the basis of shared credit risk characteristics.</t>
  </si>
  <si>
    <t xml:space="preserve">A bank's aggregate amount of allowances, regardless of whether allowance components are determined on a collective or an individual basis, should be adequate and consistent with the objectives of the applicable accounting framework.</t>
  </si>
  <si>
    <t xml:space="preserve">A bank should have policies and procedures in place to appropriately validate models used to assess and measure expected credit losses.</t>
  </si>
  <si>
    <t xml:space="preserve">A bank's use of experienced credit judgment, especially in the robust consideration of reasonable and supportable forward-looking information, including macroeconomic factors, is essential to the assessment and measurement of expected credit losses.</t>
  </si>
  <si>
    <t xml:space="preserve">A bank should have a sound credit risk assessment and measurement process that provides it with a strong basis for common systems, tools and data to assess credit risk and to account for expected credit losses.</t>
  </si>
  <si>
    <t xml:space="preserve">A bank's public disclosures should promote transparency and comparability by providing timely, relevant and decision-useful information.</t>
  </si>
  <si>
    <t xml:space="preserve">Banking supervisors should periodically evaluate the effectiveness of a bank's credit risk practices.</t>
  </si>
  <si>
    <t xml:space="preserve">Banking supervisors should be satisfied that the methods employed by a bank to determine accounting allowances lead to an appropriate measurement of expected credit losses in accordance with the applicable accounting framework.</t>
  </si>
  <si>
    <t xml:space="preserve">Banking supervisors should consider a bank's credit risk practices when assessing a bank's capital adequacy.</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</si>
  <si>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</si>
  <si>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</si>
  <si>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</si>
  <si>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</si>
  <si>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</si>
  <si>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</si>
  <si>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</si>
  <si>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</si>
  <si>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</si>
  <si>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</si>
  <si>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</si>
  <si>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</si>
  <si>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</si>
  <si>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</si>
  <si>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</si>
  <si>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</si>
  <si>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</si>
  <si>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</si>
  <si>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</si>
  <si>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</si>
  <si>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</si>
  <si>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</si>
  <si>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</si>
  <si>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</si>
  <si>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</si>
  <si>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</si>
  <si>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</si>
  <si>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</si>
  <si>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</si>
  <si>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</si>
  <si>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</si>
  <si>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</si>
  <si>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</si>
  <si>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</si>
  <si>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</si>
  <si>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</si>
  <si>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</si>
  <si>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</si>
  <si>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</si>
  <si>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</si>
  <si>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</si>
  <si>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</si>
  <si>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</si>
  <si>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</si>
  <si>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</si>
  <si>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</si>
  <si>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</si>
  <si>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</si>
  <si>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</si>
  <si>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</si>
  <si>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</si>
  <si>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</si>
  <si>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</si>
  <si>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</si>
  <si>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</si>
  <si>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</si>
  <si>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</si>
  <si>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</si>
  <si>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</si>
  <si>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</si>
  <si>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</si>
  <si>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</si>
  <si>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</si>
  <si>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</si>
  <si>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</si>
  <si>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</si>
  <si>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</si>
  <si>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</si>
  <si>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</si>
  <si>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</si>
  <si>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</si>
  <si>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</si>
  <si>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</si>
  <si>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</si>
  <si>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</si>
  <si>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</si>
  <si>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</si>
  <si>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</si>
  <si>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</si>
  <si>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</si>
  <si>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</si>
  <si>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</si>
  <si>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</si>
  <si>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</si>
  <si>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</si>
  <si>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</si>
  <si>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</si>
  <si>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</si>
  <si>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</si>
  <si>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</si>
  <si>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</si>
  <si>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</si>
  <si>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</si>
  <si>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</si>
  <si>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</si>
  <si>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</si>
  <si>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</si>
  <si>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</si>
  <si>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</si>
  <si>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</si>
  <si>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</si>
  <si>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</si>
  <si>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</si>
  <si>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</si>
  <si>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</si>
  <si>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</si>
  <si>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</si>
  <si>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</si>
  <si>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</si>
  <si>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</si>
  <si>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</si>
  <si>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</si>
  <si>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</si>
  <si>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</si>
  <si>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</si>
  <si>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</si>
  <si>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</si>
  <si>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</si>
  <si>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</si>
  <si>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</si>
  <si>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</si>
  <si>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</si>
  <si>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</si>
  <si>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</si>
  <si>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</si>
  <si>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</si>
  <si>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</si>
  <si>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</si>
  <si>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</si>
  <si>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</si>
  <si>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</si>
  <si>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</si>
  <si>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</si>
  <si>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</si>
  <si>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</si>
  <si>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</si>
  <si>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</si>
  <si>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</si>
  <si>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</si>
  <si>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</si>
  <si>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</si>
  <si>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</si>
  <si>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</si>
  <si>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</si>
  <si>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</si>
  <si>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</si>
  <si>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</si>
  <si>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</si>
  <si>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</si>
  <si>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</si>
  <si>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</si>
  <si>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</si>
  <si>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M23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</si>
  <si>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</si>
  <si>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</si>
  <si>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</si>
  <si>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</si>
  <si>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M22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</si>
  <si>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</si>
  <si>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</si>
  <si>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</si>
  <si>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</si>
  <si>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</si>
  <si>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</si>
  <si>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</si>
  <si>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</si>
  <si>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</si>
  <si>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</si>
  <si>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</si>
  <si>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</si>
  <si>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</si>
  <si>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</si>
  <si>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</si>
  <si>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</si>
  <si>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</si>
  <si>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</si>
  <si>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</si>
  <si>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</si>
  <si>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</si>
  <si>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</si>
  <si>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</si>
  <si>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</si>
  <si>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</si>
  <si>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</si>
  <si>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</si>
  <si>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</si>
  <si>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</si>
  <si>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</si>
  <si>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</si>
  <si>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</si>
  <si>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</si>
  <si>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</si>
  <si>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</si>
  <si>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</si>
  <si>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</si>
  <si>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M40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</si>
  <si>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</si>
  <si>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</si>
  <si>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</si>
  <si>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</si>
  <si>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</si>
  <si>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M45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</si>
  <si>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</si>
  <si>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</si>
  <si>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</si>
  <si>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</si>
  <si>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</si>
  <si>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</si>
  <si>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</si>
  <si>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</si>
  <si>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</si>
  <si>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</si>
  <si>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ST-18</t>
  </si>
  <si>
    <t xml:space="preserve">CPS XXXX M05 / CPG XXXX</t>
  </si>
  <si>
    <t xml:space="preserve">De minimis exception</t>
  </si>
  <si>
    <t xml:space="preserve">A model of no material consequence attracts only identification, inventory, ownership, classification and reassessment.</t>
  </si>
  <si>
    <t xml:space="preserve">US interagency guidance 2026 §III states that where models are deemed immaterial, model risk management may consist of identifying those models and monitoring the conditions under which their use may become material. OSFI E-23 Principle 2.3 scales scope, scale and intensity to model risk while Principle 2.1 keeps all models within identification.</t>
  </si>
  <si>
    <t xml:space="preserve">The prohibited classes, the aggregate test and the anti-disaggregation limb are Australian drafting choices, not comparator requirements, and are labelled as a policy choice. See RT-50.</t>
  </si>
  <si>
    <t xml:space="preserve">ST-17</t>
  </si>
  <si>
    <t xml:space="preserve">Workbook / crosswalk</t>
  </si>
  <si>
    <t xml:space="preserve">BCBS and aggregate model risk</t>
  </si>
  <si>
    <t xml:space="preserve">The crosswalk originally recorded the BCBS position on aggregate model risk as 'not addressed'. Adversarial review suggested the Basel Framework's prudent valuation guidance (CAP50) and the Pillar 3 prudent valuation template may require a model risk valuation adjustment and its disclosure.</t>
  </si>
  <si>
    <t xml:space="preserve">Unverified</t>
  </si>
  <si>
    <t xml:space="preserve">Unverified — not independently confirmed</t>
  </si>
  <si>
    <t xml:space="preserve">The BIS Basel Framework chapter pages load their text client-side and could not be retrieved in this session; the chapter's existence and title are confirmed but its provisions were not read. Neither the original negative nor the suggested positive is asserted.</t>
  </si>
  <si>
    <t xml:space="preserve">The cell now records the lead and its unverified status instead of asserting a negative. See RT-49. This should be resolved from the primary chapter before consultation.</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</si>
  <si>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</si>
  <si>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</si>
  <si>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</si>
  <si>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</si>
  <si>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</si>
  <si>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</si>
  <si>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</si>
  <si>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</si>
  <si>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</si>
  <si>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</si>
  <si>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</si>
  <si>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</si>
  <si>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</si>
  <si>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</si>
  <si>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</si>
  <si>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</si>
  <si>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</si>
  <si>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</si>
  <si>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</si>
  <si>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</si>
  <si>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</si>
  <si>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</si>
  <si>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</si>
  <si>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</si>
  <si>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</si>
  <si>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</si>
  <si>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</si>
  <si>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</si>
  <si>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</si>
  <si>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M23 was redrafted to the current formulation; incentives are retained in the practice guide as a practical consideration rather than presented as part of the definition.</t>
  </si>
  <si>
    <t xml:space="preserve">M23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</si>
  <si>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</si>
  <si>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</si>
  <si>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</si>
  <si>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</si>
  <si>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M22 and the guidance were realigned.</t>
  </si>
  <si>
    <t xml:space="preserve">M22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</si>
  <si>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</si>
  <si>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</si>
  <si>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</si>
  <si>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</si>
  <si>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</si>
  <si>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</si>
  <si>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</si>
  <si>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</si>
  <si>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</si>
  <si>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</si>
  <si>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</si>
  <si>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</si>
  <si>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</si>
  <si>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</si>
  <si>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</si>
  <si>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</si>
  <si>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</si>
  <si>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</si>
  <si>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</si>
  <si>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</si>
  <si>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</si>
  <si>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</si>
  <si>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</si>
  <si>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</si>
  <si>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</si>
  <si>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</si>
  <si>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</si>
  <si>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M45 now cross-references the existing architecture and expects early engagement on material model weakness instead.</t>
  </si>
  <si>
    <t xml:space="preserve">M45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</si>
  <si>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</si>
  <si>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</si>
  <si>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</si>
  <si>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</si>
  <si>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</si>
  <si>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</si>
  <si>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</si>
  <si>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</si>
  <si>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</si>
  <si>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</si>
  <si>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</si>
  <si>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</si>
  <si>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</si>
  <si>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</si>
  <si>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</si>
  <si>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</si>
  <si>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</si>
  <si>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M21 and M25;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</si>
  <si>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</si>
  <si>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</si>
  <si>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</si>
  <si>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</si>
  <si>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M32 and M33 now require sufficient information or compensating controls, expressed as an outcome.</t>
  </si>
  <si>
    <t xml:space="preserve">M32 and M33;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</si>
  <si>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</si>
  <si>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</si>
  <si>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</si>
  <si>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</si>
  <si>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</si>
  <si>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</si>
  <si>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</si>
  <si>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</si>
  <si>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</si>
  <si>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</si>
  <si>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</si>
  <si>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M36, M39,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</si>
  <si>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</si>
  <si>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</si>
  <si>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</si>
  <si>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</si>
  <si>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</si>
  <si>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M35 is therefore an Australian design choice, is labelled as one, and requires a single register recording which regime applies to each AI system so that the boundary is a documented determination.</t>
  </si>
  <si>
    <t xml:space="preserve">M35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</si>
  <si>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</si>
  <si>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</si>
  <si>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</si>
  <si>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</si>
  <si>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</si>
  <si>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</si>
  <si>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M40;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</si>
  <si>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</si>
  <si>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</si>
  <si>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</si>
  <si>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</si>
  <si>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</si>
  <si>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</si>
  <si>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</si>
  <si>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</si>
  <si>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</si>
  <si>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</si>
  <si>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</si>
  <si>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</si>
  <si>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</si>
  <si>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</si>
  <si>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</si>
  <si>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</si>
  <si>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</si>
  <si>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</si>
  <si>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</si>
  <si>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</si>
  <si>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</si>
  <si>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</si>
  <si>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</si>
  <si>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</si>
  <si>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</si>
  <si>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</si>
  <si>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</si>
  <si>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</si>
  <si>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</si>
  <si>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</si>
  <si>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</si>
  <si>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</si>
  <si>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</si>
  <si>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</si>
  <si>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</si>
  <si>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</si>
  <si>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</si>
  <si>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</si>
  <si>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</si>
  <si>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</si>
  <si>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</si>
  <si>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</si>
  <si>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</si>
  <si>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</si>
  <si>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</si>
  <si>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</si>
  <si>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</si>
  <si>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</si>
  <si>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</si>
  <si>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</si>
  <si>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</si>
  <si>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</si>
  <si>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</si>
  <si>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</si>
  <si>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</si>
  <si>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</si>
  <si>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</si>
  <si>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</si>
  <si>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</si>
  <si>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M22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</si>
  <si>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</si>
  <si>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M22 now requires outcomes analysis to the extent outcomes are observable and sufficient for the purpose, and requires alternative evidence of performance — benchmarking, sensitivity analysis and assessment of assumptions — where they are not.</t>
  </si>
  <si>
    <t xml:space="preserve">M22 redrafted; the validation intensity table in the guide realigned.</t>
  </si>
  <si>
    <t xml:space="preserve">M41 scope; BCBS stress testing principles 7 and 8.</t>
  </si>
  <si>
    <t xml:space="preserve">RT-29</t>
  </si>
  <si>
    <t xml:space="preserve">M21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</si>
  <si>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</si>
  <si>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M21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</si>
  <si>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M21 redrafted; A4 added.</t>
  </si>
  <si>
    <t xml:space="preserve">US interagency guidance 2026 §V.</t>
  </si>
  <si>
    <t xml:space="preserve">RT-30</t>
  </si>
  <si>
    <t xml:space="preserve">M42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</si>
  <si>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</si>
  <si>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M42 now refers to the internal capital adequacy assessment or, for an RSE licensee, to determining the operational risk financial requirement target amount.</t>
  </si>
  <si>
    <t xml:space="preserve">M42 redrafted sector-neutrally.</t>
  </si>
  <si>
    <t xml:space="preserve">Superannuation prudential framework; SPS 114 operational risk financial requirement.</t>
  </si>
  <si>
    <t xml:space="preserve">RT-31</t>
  </si>
  <si>
    <t xml:space="preserve">M14 required a complete, accurate and current inventory in absolute terms; M32's compensating-control escape reached only the information limb; M33 had no transition for contracts already on foot; and M39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</si>
  <si>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M09 and M21 would disqualify the very review CPS 320 requires.</t>
  </si>
  <si>
    <t xml:space="preserve">M14 now requires the inventory plus processes designed to ensure completeness. M32's escape extends to any obligation the entity cannot itself discharge for a third-party model, with a record of which are met that way. M33 applies to existing arrangements from the earlier of renewal, material variation or the end of the transition period. M39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</si>
  <si>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</si>
  <si>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</si>
  <si>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</si>
  <si>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</si>
  <si>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</si>
  <si>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</si>
  <si>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</si>
  <si>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</si>
  <si>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</si>
  <si>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M45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</si>
  <si>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</si>
  <si>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M45 now states the timing expectation on the face of the requirement and ties it to the CPS 230 and CPS 234 timeframes where the event falls within those standards, resolving the inconsistency without creating a competing deadline.</t>
  </si>
  <si>
    <t xml:space="preserve">M45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</si>
  <si>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</si>
  <si>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</si>
  <si>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</si>
  <si>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</si>
  <si>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</si>
  <si>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</si>
  <si>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</si>
  <si>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</si>
  <si>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</si>
  <si>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</si>
  <si>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M23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</si>
  <si>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</si>
  <si>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M23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</si>
  <si>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</si>
  <si>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</si>
  <si>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</si>
  <si>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M13 and M42 now cite Principle 2.1. M42's rationale was rewritten to lead with the 2026 US guidance, which does expressly call for model risk to be assessed individually and in aggregate reflecting common assumptions, data and methodologies.</t>
  </si>
  <si>
    <t xml:space="preserve">M13 and M42 principle mappings and M42's rationale.</t>
  </si>
  <si>
    <t xml:space="preserve">PRA SS1/23 Principle 5 and Principle 2.1 primary text; US interagency guidance 2026 §III.</t>
  </si>
  <si>
    <t xml:space="preserve">RT-37</t>
  </si>
  <si>
    <t xml:space="preserve">M39 cited GPS 320 and LPS 320; M36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</si>
  <si>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</si>
  <si>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</si>
  <si>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M36 and M39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</si>
  <si>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</si>
  <si>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</si>
  <si>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</si>
  <si>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</si>
  <si>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</si>
  <si>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</si>
  <si>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</si>
  <si>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</si>
  <si>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</si>
  <si>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</si>
  <si>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</si>
  <si>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</si>
  <si>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</si>
  <si>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</si>
  <si>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M09, M10 and M12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</si>
  <si>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</si>
  <si>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</si>
  <si>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</si>
  <si>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</si>
  <si>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</si>
  <si>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M34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</si>
  <si>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</si>
  <si>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M34's limb was recast in model-performance terms: systematic differences in model performance across segments of the population to which the model is applied.</t>
  </si>
  <si>
    <t xml:space="preserve">Annex C, M01 guidance and M34.</t>
  </si>
  <si>
    <t xml:space="preserve">Prudential remit analysis.</t>
  </si>
  <si>
    <t xml:space="preserve">RT-42</t>
  </si>
  <si>
    <t xml:space="preserve">M45 imposed a standing duty to provide APRA with information 'on request', open as to scope, form and requester. M35 required entities to apply AI risk management arrangements that nothing obliged them to have. M42's RSE limb referred to the operational risk financial requirement without citing the standard that governs it.</t>
  </si>
  <si>
    <t xml:space="preserve">An open-ended information duty with no stated legal form is not how the other cross-industry standards are drafted. M35 assumed an instrument that does not exist. M42 pointed at a determination made under an uncited standard.</t>
  </si>
  <si>
    <t xml:space="preserve">M45 now applies where APRA requires information in writing, and its notification trigger covers amounts credited to or debited from customer and beneficiary accounts. M35 gains a limb for entities with no separate AI arrangements. M42 cites SPS 114, which is now registered as a source. An interpretation clause was added requiring every APRA power under the standard to be exercised in writing.</t>
  </si>
  <si>
    <t xml:space="preserve">M35, M42, M45,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</si>
  <si>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</si>
  <si>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</si>
  <si>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</si>
  <si>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</si>
  <si>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</si>
  <si>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</si>
  <si>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</si>
  <si>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</si>
  <si>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</si>
  <si>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</si>
  <si>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</si>
  <si>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</si>
  <si>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</si>
  <si>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</si>
  <si>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</si>
  <si>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</si>
  <si>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M14 now requires the inventory to record at least the fields set out in Annex B, so the obligation sits in a bold mandatory paragraph. Annex B's opening line was reworded to point back at M14.</t>
  </si>
  <si>
    <t xml:space="preserve">M14 and Annex B.</t>
  </si>
  <si>
    <t xml:space="preserve">The standard's own interpretation rule that only bold paragraphs are mandatory.</t>
  </si>
  <si>
    <t xml:space="preserve">RT-46</t>
  </si>
  <si>
    <t xml:space="preserve">Every governance obligation was expressed in terms of 'the Board'; private health insurance appeared nowhere despite being in the enabling authority; A4's transition reached only model-level obligations; and Annex A's bespoke definitions were not tied to CPS 001.</t>
  </si>
  <si>
    <t xml:space="preserve">A foreign ADI has no Australian Board, so those obligations were incapable of performance by a branch. A named industry with no coverage would not survive consultation. Entity-level obligations with no transition would all fall due on commencement. And bespoke definitions floating free of CPS 001 invite inconsistency with the rest of the framework.</t>
  </si>
  <si>
    <t xml:space="preserve">A6 now reads down 'the Board' for foreign ADIs and ties undefined terms to CPS 001. A4 was split into entity-level obligations from commencement and model-level obligations on a remediation plan. M39 now names private health insurers, deferred claims liabilities and risk equalisation, and cites HPS 110. Annex F gained items for foreign ADIs and for whether a simplified pathway for smaller entities is warranted.</t>
  </si>
  <si>
    <t xml:space="preserve">A4, A6, M39, Annex F and the source register.</t>
  </si>
  <si>
    <t xml:space="preserve">Cross-industry drafting practice in CPS 220, CPS 230 and CPS 234; the enabling authority in A1.</t>
  </si>
  <si>
    <t xml:space="preserve">RT-47</t>
  </si>
  <si>
    <t xml:space="preserve">M03's carve-out excluded any tool whose output is fully determined by its inputs and documented rules.</t>
  </si>
  <si>
    <t xml:space="preserve">A unit price calculation is fully determined by its inputs. The carve-out would therefore have excluded the very models M02 and M40 were drafted to capture — the ones whose errors transfer value between members irreversibly.</t>
  </si>
  <si>
    <t xml:space="preserve">M03's test now turns on consequence as well as method: a tool is outside the definition only where it also does not determine a regulatory figure, a reported valuation or an amount attributable to a customer or beneficiary.</t>
  </si>
  <si>
    <t xml:space="preserve">M03; resolves a direct contradiction with M02 and M40.</t>
  </si>
  <si>
    <t xml:space="preserve">Internal consistency analysis across M02, M03 and M40.</t>
  </si>
  <si>
    <t xml:space="preserve">RT-48</t>
  </si>
  <si>
    <t xml:space="preserve">No requirement addressed the outputs a failed model had already produced, and M31 conferred a power to suspend a model without requiring anything to fall back on. Group and offshore model governance was unaddressed.</t>
  </si>
  <si>
    <t xml:space="preserve">Remediating a finding is not the same as remediating its consequences: a model that mispriced units or understated a provision leaves balances and figures that need correcting. A power to suspend a model the entity has no alternative to is not usable. And for many Australian entities the model is built and validated by an offshore parent.</t>
  </si>
  <si>
    <t xml:space="preserve">M30 now requires the entity, on identifying a material error or failure, to determine its cause, assess whether the weakness affects other models, and address the effect on figures, balances and customer or beneficiary amounts already produced. M31 requires an identified alternative basis for highest-tier models. M08 requires the entity to satisfy itself about group-performed work and retain the ability to direct and challenge it.</t>
  </si>
  <si>
    <t xml:space="preserve">M08, M30 and M31.</t>
  </si>
  <si>
    <t xml:space="preserve">ECB guide on group-level model governance; OSFI E-23 lifecycle stages.</t>
  </si>
  <si>
    <t xml:space="preserve">RT-49</t>
  </si>
  <si>
    <t xml:space="preserve">The crosswalk asserted that the BCBS does not address aggregate model risk.</t>
  </si>
  <si>
    <t xml:space="preserve">An asserted negative is a claim like any other. Adversarial review suggested the Basel Framework's prudent valuation guidance and Pillar 3 prudent valuation template may in fact require a model risk valuation adjustment and its public disclosure, which would make the negative wrong.</t>
  </si>
  <si>
    <t xml:space="preserve">The claim could not be resolved either way: the BIS Basel Framework chapter pages render their text client-side and could not be retrieved. Rather than keep an unverified negative or adopt an unverified positive, the cell now records the lead and its status. Ledger entry ST-17 marks it for resolution from the primary chapter before consultation.</t>
  </si>
  <si>
    <t xml:space="preserve">One crosswalk cell; one statement-ledger entry. No requirement relies on the point.</t>
  </si>
  <si>
    <t xml:space="preserve">BIS Basel Framework CAP50 chapter listing (title confirmed, text not retrievable).</t>
  </si>
  <si>
    <t xml:space="preserve">Open — unresolved, disclosed</t>
  </si>
  <si>
    <t xml:space="preserve">RT-50</t>
  </si>
  <si>
    <t xml:space="preserve">The standard applied all requirements to every model, with proportionality operating only on control intensity. Annex F recorded a de minimis exception as an open policy question.</t>
  </si>
  <si>
    <t xml:space="preserve">Without a de minimis mechanism, a model that could not matter attracts the same lifecycle as one that determines regulatory capital. Every comparator relieves low-consequence models of the full lifecycle, and the 2026 US guidance says so expressly: where models are deemed immaterial, model risk management may consist of identifying them and monitoring the conditions under which their use may become material.</t>
  </si>
  <si>
    <t xml:space="preserve">A de minimis exception was added at model level as M05. A model determined to be de minimis attracts only identification, inventory, ownership, classification and reassessment. Three anti-abuse limbs were drafted with it: prohibited classes that can never be de minimis (regulatory capital, provisions, insurance liabilities, reported valuations, unit prices and other customer or beneficiary amounts, and models supporting a critical operation); an aggregate test, because a population of individually immaterial models sharing an assumption may not be immaterial together; and a bar on disaggregating a model to bring its components under the threshold. The exception deliberately does not release a model from the inventory, since an entity that has removed a model cannot demonstrate the determination was ever made.</t>
  </si>
  <si>
    <t xml:space="preserve">New requirement M05; six new guidance paragraphs; a new Annex A definition; a new crosswalk topic; the proportionality scoring domain updated. Marked as a policy choice requiring consultation and cost-benefit testing.</t>
  </si>
  <si>
    <t xml:space="preserve">US interagency guidance 2026 §III; OSFI E-23 (2027) Principles 2.1 and 2.3; PRA SS1/23 Principle 1.3.</t>
  </si>
  <si>
    <t xml:space="preserve">Closed — requirement added</t>
  </si>
  <si>
    <t xml:space="preserve">RT-51</t>
  </si>
  <si>
    <t xml:space="preserve">Inserting M05 into Part A shifted every subsequent requirement identifier.</t>
  </si>
  <si>
    <t xml:space="preserve">An audit trail that references identifiers is only useful if those references still resolve. Leaving the earlier entries pointing at pre-insertion numbers would have silently misdirected every correction recorded before this one.</t>
  </si>
  <si>
    <t xml:space="preserve">All identifiers from the former M05 onward were resequenced upward by one across the requirement register, the practice guide, the scoring model, the crosswalk, this audit trail and the statement ledger. The concordance is simply: M01 to M04 unchanged; former Mnn for nn of 05 or above is now M(nn+1). References in this audit trail and the ledger have been updated to current identifiers, so an entry describing a correction to the former M13 now reads M14.</t>
  </si>
  <si>
    <t xml:space="preserve">Every artefact. The integrity check confirms that no guidance paragraph, scoring domain or cross-reference points at an identifier that does not exist.</t>
  </si>
  <si>
    <t xml:space="preserve">Automated resequencing with verification by the package integrity check.</t>
  </si>
  <si>
    <t xml:space="preserve">Closed — resequenced and verified</t>
  </si>
  <si>
    <t xml:space="preserve">RT-52</t>
  </si>
  <si>
    <t xml:space="preserve">Full adversarial verification of the five red-team lenses returned 57 findings, of which 31 were refuted outright and 24 were reduced to a smaller residual.</t>
  </si>
  <si>
    <t xml:space="preserve">Most findings were raised against snapshots of the package taken before earlier corrections landed. Verifiers repeatedly established that a quoted defect no longer existed, and that the proposed fix would either be a no-op or would reopen a closed correction. Acting on the raw findings would have undone RT-27, RT-31, RT-33, RT-34, RT-42, RT-46 and RT-47.</t>
  </si>
  <si>
    <t xml:space="preserve">Only the verified residuals were applied. M23's explanatory paragraph stated a different three-limb test from its own bold paragraph and reintroduced incentives as a co-equal limb; it now tracks the requirement and demotes incentives to a practical condition. M22 now prints the validation components in the order the current US guidance uses. M36's approval and use-test limbs are now expressly conditional on the applicable capital standard. Annex A's model definition carried a sentence M02 does not contain, and 'material model' used a non-negligible-effect trigger where 'material purpose' used a material-effect one; both are aligned. Three stale attributions in the practice guide were corrected: PRA Principle 5 for aggregate model risk, the exception paragraph reading as though it could except a requirement, and the superseded bias phrasing in the AI chapter.</t>
  </si>
  <si>
    <t xml:space="preserve">M22, M23, M36, two Annex A definitions and three practice guide paragraphs; CPS 001 and SPS 114 registered; two Annex F items extended.</t>
  </si>
  <si>
    <t xml:space="preserve">PRA SS1/23 Principles 2.1 and 5; US interagency guidance 2026 §§III and V; the package's own closed audit entries.</t>
  </si>
  <si>
    <t xml:space="preserve">Closed — verified residuals applied</t>
  </si>
  <si>
    <t xml:space="preserve">RT-53</t>
  </si>
  <si>
    <t xml:space="preserve">Two findings survived verification intact rather than being reduced.</t>
  </si>
  <si>
    <t xml:space="preserve">The Annex A model definition retained a three-component sentence that the operative definition in M02 does not contain, so the defined term and the requirement said different things; and M36 imposed an unconditional obligation to obtain APRA approval for model change and to use the model in internal risk management, where those duties arise only where the applicable capital standard imposes them.</t>
  </si>
  <si>
    <t xml:space="preserve">Both were applied as verified. The definition now matches M02 word for word, with the three-component description retained in the practice guide where it is explanatory. M36's limbs are now conditional on the applicable prudential standard.</t>
  </si>
  <si>
    <t xml:space="preserve">Annex A and M36.</t>
  </si>
  <si>
    <t xml:space="preserve">Independent verification at the locus; APS 113 and the ECB internal models framework.</t>
  </si>
  <si>
    <t xml:space="preserve">RT-54</t>
  </si>
  <si>
    <t xml:space="preserve">M37 and M38 both brought expected credit loss models into the scope of the Prudential Standard. M37 applied it to models used 'to determine expected credit losses'; M38 applied it to models used 'to assess and measure expected credit losses and to determine provisions'.</t>
  </si>
  <si>
    <t xml:space="preserve">Two mandatory paragraphs scoping the same models is a drafting defect. An entity cannot tell which paragraph governs, and a duplicated scoping obligation invites the argument that the two differ in some intended way.</t>
  </si>
  <si>
    <t xml:space="preserve">The expected credit loss limb was removed from M37, leaving M38 as the single scoping paragraph for expected credit loss and provisioning models. M37 now governs valuation and financial and regulatory reporting models, with guidance signposting paragraph 38 and confirming that both apply where one model serves both purposes.</t>
  </si>
  <si>
    <t xml:space="preserve">M37 and M38.</t>
  </si>
  <si>
    <t xml:space="preserve">Both requirement texts read at the locus.</t>
  </si>
  <si>
    <t xml:space="preserve">RT-55</t>
  </si>
  <si>
    <t xml:space="preserve">M45's independent review limb was drafted as applying where APRA requires a review of 'an aspect of its model risk management, including its provisioning practices'.</t>
  </si>
  <si>
    <t xml:space="preserve">Does the APS 220 Special purpose engagements provision, on which the limb rests, bear that weight? Its verbatim words extend to 'all or a particular aspect of the ADI's credit risk management, including provisioning practices'.</t>
  </si>
  <si>
    <t xml:space="preserve">It does not. The drafting substituted model risk management for credit risk management as the genus, converting a credit risk power into a model risk power, and did so in a cross-industry instrument when APS 220 applies to ADIs only. M45 now states an entity's obligation to support a review where the power is conferred by another instrument, without purporting to confer the power itself, and preserves the APS 220 formulation accurately as a separate limb. Guidance states expressly that the APS 220 provision does not reach model risk management at large and supplies no basis at all for an insurer or RSE licensee.</t>
  </si>
  <si>
    <t xml:space="preserve">M45 and its guidance; a new Annex F entry on independent review and special purpose engagements.</t>
  </si>
  <si>
    <t xml:space="preserve">APS 220 Special purpose engagements, verbatim; the drafting precedent set by RT-42, that the package must not assume a power no cited instrument supplies.</t>
  </si>
  <si>
    <t xml:space="preserve">RT-56</t>
  </si>
  <si>
    <t xml:space="preserve">The practice guide stated that where this Prudential Standard and APS 220 overlap, 'APS 220 prevails as the more specific instrument'.</t>
  </si>
  <si>
    <t xml:space="preserve">Is that precedence rule established anywhere, and what would it do if this Prudential Standard required more of a model than APS 220 does?</t>
  </si>
  <si>
    <t xml:space="preserve">It is established nowhere. The standard's Interpretation section creates no such rule, and as drafted the sentence would read down this Prudential Standard wherever it imposed the higher obligation — the opposite of the intent. The guidance now states that the two are cumulative, that neither reads down the other, and that the higher obligation is the one to meet, with the formal interaction recorded in Annex F for settlement.</t>
  </si>
  <si>
    <t xml:space="preserve">The expected credit loss chapter of the guide; a new Annex F entry on interaction with APS 220.</t>
  </si>
  <si>
    <t xml:space="preserve">The Interpretation section of the standard; APS 220.</t>
  </si>
  <si>
    <t xml:space="preserve">RT-57</t>
  </si>
  <si>
    <t xml:space="preserve">Annex G set out twelve focus areas for a review of expected credit loss models.</t>
  </si>
  <si>
    <t xml:space="preserve">Would the annex let a reviewer appointed under a special purpose engagement form a view on whether the reported provision is supportable?</t>
  </si>
  <si>
    <t xml:space="preserve">Not on the measurement itself. The annex addressed framework, governance, staging, segmentation, scenarios, overlays and data, but omitted the mechanics where expected credit loss estimates actually fail: the component models and their validation, the lifetime probability of default term structure, loss given default and collateral realisation, exposure at default and credit conversion factors for undrawn commitments, behavioural life and prepayment, discounting, back-testing of the estimate against realised losses, individually assessed exposures, the interaction of hardship, forbearance and write-off with measurement, and externally sourced components. Four new areas were added and the sequence reordered to follow the order in which an engagement would work through them.</t>
  </si>
  <si>
    <t xml:space="preserve">Annex G, now sixteen focus areas.</t>
  </si>
  <si>
    <t xml:space="preserve">Assessed against the measurement requirements of AASB 9 and the matters BCBS d350 and APRA's October 2023 letter direct to validation and credit judgement.</t>
  </si>
  <si>
    <t xml:space="preserve">RT-58</t>
  </si>
  <si>
    <t xml:space="preserve">Annex F stated that 'CPS 240' is a drafting placeholder only, after the package had been renumbered to CPS XXXX.</t>
  </si>
  <si>
    <t xml:space="preserve">Did the renumbering reach every occurrence?</t>
  </si>
  <si>
    <t xml:space="preserve">All but one. The string was split across two source lines, so it survived a search for the whole phrase and remained in the one annex whose purpose is to record that the number is a placeholder. Corrected, and the check was re-run over the assembled content of every module rather than over the source lines, which is the only form of the check that would have caught it.</t>
  </si>
  <si>
    <t xml:space="preserve">Annex F.</t>
  </si>
  <si>
    <t xml:space="preserve">Whole-package scan of assembled string values, which now reports no stale instrument numbers.</t>
  </si>
  <si>
    <t xml:space="preserve">RT-59</t>
  </si>
  <si>
    <t xml:space="preserve">The RT-56 correction was applied to the practice guide but not to the standard. M38's guidance still read that 'where the two overlap the more specific requirement in APS 220 prevails', while the guide had been changed to say the two are cumulative.</t>
  </si>
  <si>
    <t xml:space="preserve">Found on re-executing the pipeline after RT-56. Two questions: did the correction reach every locus, and is the precedence formulation right anywhere it appears?</t>
  </si>
  <si>
    <t xml:space="preserve">It had not, and it was not. The two documents contradicted each other, and the formulation was actively wrong for M38 — it would let an ADI satisfy the bare APS 220 validation obligation and disregard the validation discipline M38 exists to supply. M38 now carries the cumulative formulation. M36's parallel deference to the capital standards was kept, because APS 113 contains a complete and more demanding model regime where APS 220 contains a bare obligation, but it was made precise: the capital standard governs approval, change and conditions of use, and does not relieve the entity of the framework obligations it does not address. The valuation scoring action was also still referring to expected credit loss models after RT-54 moved them to M38.</t>
  </si>
  <si>
    <t xml:space="preserve">M36, M38, and two recommended actions in the scoring model.</t>
  </si>
  <si>
    <t xml:space="preserve">Detected by rebuilding from source and reading the assembled output rather than the diff.</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</si>
  <si>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</si>
  <si>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</si>
  <si>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</si>
  <si>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</si>
  <si>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</si>
  <si>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</si>
  <si>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</si>
  <si>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</si>
  <si>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</si>
  <si>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</si>
  <si>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</si>
  <si>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</si>
  <si>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</si>
  <si>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</si>
  <si>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</si>
  <si>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</si>
  <si>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</si>
  <si>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</si>
  <si>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</si>
  <si>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</si>
  <si>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</si>
  <si>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</si>
  <si>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</si>
  <si>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</si>
  <si>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</si>
  <si>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</si>
  <si>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</si>
  <si>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</si>
  <si>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</si>
  <si>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</si>
  <si>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</si>
  <si>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</si>
  <si>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</si>
  <si>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</si>
  <si>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</si>
  <si>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</si>
  <si>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</si>
  <si>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</si>
  <si>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</si>
  <si>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</si>
  <si>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</si>
  <si>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</si>
  <si>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</si>
  <si>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</si>
  <si>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</si>
  <si>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</si>
  <si>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</si>
  <si>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</si>
  <si>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</si>
  <si>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</si>
  <si>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</si>
  <si>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</si>
  <si>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</si>
  <si>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</si>
  <si>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</si>
  <si>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</si>
  <si>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</si>
  <si>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</si>
  <si>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</si>
  <si>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</si>
  <si>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</si>
  <si>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</si>
  <si>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</si>
  <si>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Eleven principles. Principles 1 to 8 address banks: board and management responsibilities; sound ECL methodologies; credit risk rating process and grouping; adequacy of the allowance; ECL model validation; experienced credit judgment; common data; and disclosure. Principles 9 to 11 address supervisors: periodic evaluation of credit risk practices; satisfaction that ECL measurement methods are appropriate; and consideration of credit risk practices in assessing capital adequacy. Principle 5 is the direct antecedent of the ECL model validation obligation in APS 220.</t>
  </si>
  <si>
    <t xml:space="preserve">https://www.bis.org/bcbs/publ/d350.htm</t>
  </si>
  <si>
    <t xml:space="preserve">Supervisory observations on credit risk practices, including expected credit loss provisioning. Cited by APRA's October 2023 letter on provisioning practices as reinforcing the same observations.</t>
  </si>
  <si>
    <t xml:space="preserve">https://www.bis.org/publ/bcbs_nl32.htm</t>
  </si>
  <si>
    <t xml:space="preserve">Credit risk management framework, classification of exposures and provisions, and a dedicated section on credit risk and accounting for expected credit losses which requires an ADI to have sound policies and processes in place to appropriately validate models used to assess and measure expected credit losses. Also contains the Special purpose engagements provision under which APRA may require an ADI to appoint an independent party to review and report to APRA on its credit risk management, including provisioning practices.</t>
  </si>
  <si>
    <t xml:space="preserve">https://www.apra.gov.au/standards/aps-220</t>
  </si>
  <si>
    <t xml:space="preserve">Guidance on the APS 220 credit risk framework. Expressly states that the Basel Committee's Guidance on credit risk and accounting for expected credit losses of 18 December 2015 sets out guidance on sound credit risk practices associated with expected credit loss accounting frameworks, and that APRA expects ADIs to have regard to it.</t>
  </si>
  <si>
    <t xml:space="preserve">https://www.apra.gov.au/practice-guides/apg-220</t>
  </si>
  <si>
    <t xml:space="preserve">Sets out APRA's observations on expected credit loss provisioning across three areas: controls around model risk management, including judgement-based adjustments and overlays; capturing economic uncertainty through sensitivity analysis; and identifying credit deterioration in vulnerable sectors and borrowers, including the indicators used to transfer exposures to Stage 2 under AASB 9. The principal source for the review focus areas in Annex G.</t>
  </si>
  <si>
    <t xml:space="preserve">https://www.apra.gov.au/credit-risk-provisioning-practices-for-locally-incorporated-authorised-deposit-taking-institutions</t>
  </si>
  <si>
    <t xml:space="preserve">The expected credit loss impairment model, including the three-stage approach and the assessment of significant increases in credit risk. APS 220 requires provisions to be adequate and consistent with the objectives of Australian Accounting Standards.</t>
  </si>
  <si>
    <t xml:space="preserve">https://www.aasb.gov.au/pronouncements/accounting-standards/</t>
  </si>
  <si>
    <t xml:space="preserve">Guidance on the internal capital adequacy assessment process and on stress testing, which APRA's provisioning letter directs ADIs to follow when conducting sensitivity analysis on expected credit losses.</t>
  </si>
  <si>
    <t xml:space="preserve">https://www.apra.gov.au/practice-guides/cpg-110</t>
  </si>
  <si>
    <t xml:space="preserve">The centralised definitions instrument. Paragraph A6 provides that a term not defined in Annex A takes its meaning from CPS 001, so the two must be reconciled before issue.</t>
  </si>
  <si>
    <t xml:space="preserve">https://www.apra.gov.au/standards/cps-001</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</si>
  <si>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</si>
  <si>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</si>
  <si>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</si>
  <si>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</si>
  <si>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</si>
  <si>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</si>
  <si>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</si>
  <si>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</si>
  <si>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</si>
  <si>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</si>
  <si>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</si>
  <si>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</si>
  <si>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</si>
  <si>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</si>
  <si>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</si>
  <si>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</si>
  <si>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Capital adequacy for private health insurers. Named here because private health insurance is within the enabling authority for this Prudential Standard and its liability and risk equalisation calculations are modelled.</t>
  </si>
  <si>
    <t xml:space="preserve">https://www.apra.gov.au/standards/hps-110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</si>
  <si>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</si>
  <si>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</si>
  <si>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</si>
  <si>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</si>
  <si>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</si>
  <si>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</si>
  <si>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</si>
  <si>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</si>
  <si>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</si>
  <si>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</si>
  <si>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</si>
  <si>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</si>
  <si>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that is used for a material purpose, or whose failure or misuse could otherwise have a material effect on the entity's financial position, its regulatory obligations, its critical operations, or amounts or entitlements attributable to its customers or beneficiaries.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</si>
  <si>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</si>
  <si>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</si>
  <si>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</si>
  <si>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</si>
  <si>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</si>
  <si>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</si>
  <si>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</si>
  <si>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</si>
  <si>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</si>
  <si>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</si>
  <si>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</si>
  <si>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</si>
  <si>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</si>
  <si>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</si>
  <si>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De minimis model</t>
  </si>
  <si>
    <t xml:space="preserve">A model that the entity has determined, and documented, could not have a material effect on its financial position, its regulatory obligations, its critical operations, or amounts or entitlements attributable to its customers or beneficiaries if it were wrong or misused. A de minimis model remains subject to identification, inventory, ownership, classification and reassessment.</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</si>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</sst>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45</v>
      </c>
      <c r="C5" s="4" t="s">
        <v>32</v>
      </c>
    </row>
    <row r="6" customFormat="false" ht="30" hidden="false" customHeight="true" outlineLevel="0" collapsed="false">
      <c r="A6" s="5" t="s">
        <v>33</v>
      </c>
      <c r="B6" s="7" t="n">
        <f aca="false">COUNTIF('Requirements Register'!I5:I200,"Yes")</f>
        <v>5</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146</v>
      </c>
      <c r="C8" s="5" t="s">
        <v>38</v>
      </c>
    </row>
    <row r="9" customFormat="false" ht="30" hidden="false" customHeight="true" outlineLevel="0" collapsed="false">
      <c r="A9" s="4" t="s">
        <v>39</v>
      </c>
      <c r="B9" s="6" t="n">
        <f aca="false">COUNTA('Gap Assessment'!A5:A39)</f>
        <v>35</v>
      </c>
      <c r="C9" s="4" t="s">
        <v>40</v>
      </c>
    </row>
    <row r="10" customFormat="false" ht="30" hidden="false" customHeight="true" outlineLevel="0" collapsed="false">
      <c r="A10" s="5" t="s">
        <v>41</v>
      </c>
      <c r="B10" s="7" t="n">
        <f aca="false">ROUND(AVERAGE('Gap Assessment'!H5:H39),2)</f>
        <v>2.28</v>
      </c>
      <c r="C10" s="5" t="s">
        <v>42</v>
      </c>
    </row>
    <row r="11" customFormat="false" ht="30" hidden="false" customHeight="true" outlineLevel="0" collapsed="false">
      <c r="A11" s="4" t="s">
        <v>43</v>
      </c>
      <c r="B11" s="6" t="n">
        <f aca="false">ROUND(AVERAGE('Gap Assessment'!L5:L39),2)</f>
        <v>4.41</v>
      </c>
      <c r="C11" s="4" t="s">
        <v>44</v>
      </c>
    </row>
    <row r="12" customFormat="false" ht="30" hidden="false" customHeight="true" outlineLevel="0" collapsed="false">
      <c r="A12" s="5" t="s">
        <v>45</v>
      </c>
      <c r="B12" s="7" t="n">
        <f aca="false">COUNTIF('Gap Assessment'!K5:K39,"Critical")</f>
        <v>4</v>
      </c>
      <c r="C12" s="5" t="s">
        <v>46</v>
      </c>
    </row>
    <row r="13" customFormat="false" ht="30" hidden="false" customHeight="true" outlineLevel="0" collapsed="false">
      <c r="A13" s="4" t="s">
        <v>47</v>
      </c>
      <c r="B13" s="6" t="n">
        <f aca="false">COUNTIF('Gap Assessment'!K5:K39,"High")</f>
        <v>17</v>
      </c>
      <c r="C13" s="4" t="s">
        <v>48</v>
      </c>
    </row>
    <row r="14" customFormat="false" ht="30" hidden="false" customHeight="true" outlineLevel="0" collapsed="false">
      <c r="A14" s="5" t="s">
        <v>49</v>
      </c>
      <c r="B14" s="7" t="n">
        <f aca="false">COUNTA('Red Team Audit'!A5:A200)</f>
        <v>59</v>
      </c>
      <c r="C14" s="5" t="s">
        <v>50</v>
      </c>
    </row>
    <row r="15" customFormat="false" ht="30" hidden="false" customHeight="true" outlineLevel="0" collapsed="false">
      <c r="A15" s="4" t="s">
        <v>51</v>
      </c>
      <c r="B15" s="6" t="n">
        <f aca="false">COUNTIF('Red Team Audit'!G5:G200,"High")</f>
        <v>34</v>
      </c>
      <c r="C15" s="4" t="s">
        <v>52</v>
      </c>
    </row>
    <row r="16" customFormat="false" ht="30" hidden="false" customHeight="true" outlineLevel="0" collapsed="false">
      <c r="A16" s="5" t="s">
        <v>53</v>
      </c>
      <c r="B16" s="7" t="n">
        <f aca="false">COUNTA('Source Register'!A5:A200)</f>
        <v>45</v>
      </c>
      <c r="C16" s="5" t="s">
        <v>54</v>
      </c>
    </row>
    <row r="17" customFormat="false" ht="30" hidden="false" customHeight="true" outlineLevel="0" collapsed="false">
      <c r="A17" s="4" t="s">
        <v>55</v>
      </c>
      <c r="B17" s="6" t="n">
        <f aca="false">COUNTIF('Source Register'!I5:I200,"Verified — primary source")</f>
        <v>38</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1.5</v>
      </c>
      <c r="C68" s="12" t="s">
        <v>135</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144</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144</v>
      </c>
    </row>
    <row r="74" customFormat="false" ht="15" hidden="false" customHeight="false" outlineLevel="0" collapsed="false">
      <c r="A74" s="12" t="s">
        <v>171</v>
      </c>
      <c r="B74" s="13" t="n">
        <v>1.25</v>
      </c>
      <c r="C74" s="12" t="s">
        <v>137</v>
      </c>
    </row>
    <row r="75" customFormat="false" ht="15" hidden="false" customHeight="false" outlineLevel="0" collapsed="false">
      <c r="A75" s="12" t="s">
        <v>172</v>
      </c>
      <c r="B75" s="13" t="n">
        <v>1</v>
      </c>
      <c r="C75" s="12" t="s">
        <v>144</v>
      </c>
    </row>
    <row r="77" customFormat="false" ht="15" hidden="false" customHeight="false" outlineLevel="0" collapsed="false">
      <c r="A77" s="14" t="s">
        <v>173</v>
      </c>
    </row>
    <row r="78" customFormat="false" ht="61.5" hidden="false" customHeight="true" outlineLevel="0" collapsed="false">
      <c r="A78" s="15" t="s">
        <v>174</v>
      </c>
      <c r="B78" s="15"/>
      <c r="C78" s="15"/>
    </row>
    <row r="80" customFormat="false" ht="15" hidden="false" customHeight="false" outlineLevel="0" collapsed="false">
      <c r="A80" s="14" t="s">
        <v>175</v>
      </c>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row r="84" customFormat="false" ht="30" hidden="false" customHeight="true" outlineLevel="0" collapsed="false">
      <c r="A84" s="15" t="s">
        <v>179</v>
      </c>
      <c r="B84" s="15"/>
      <c r="C84" s="15"/>
    </row>
  </sheetData>
  <autoFilter ref="A4:B4"/>
  <mergeCells count="5">
    <mergeCell ref="A78:C78"/>
    <mergeCell ref="A81:C81"/>
    <mergeCell ref="A82:C82"/>
    <mergeCell ref="A83:C83"/>
    <mergeCell ref="A84:C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180</v>
      </c>
    </row>
    <row r="2" customFormat="false" ht="15" hidden="false" customHeight="false" outlineLevel="0" collapsed="false">
      <c r="A2" s="2" t="s">
        <v>181</v>
      </c>
    </row>
    <row r="4" customFormat="false" ht="30" hidden="false" customHeight="true" outlineLevel="0" collapsed="false">
      <c r="A4" s="3" t="s">
        <v>131</v>
      </c>
      <c r="B4" s="3" t="s">
        <v>85</v>
      </c>
      <c r="C4" s="3" t="s">
        <v>87</v>
      </c>
      <c r="D4" s="3" t="s">
        <v>89</v>
      </c>
      <c r="E4" s="3" t="s">
        <v>91</v>
      </c>
      <c r="F4" s="3" t="s">
        <v>132</v>
      </c>
      <c r="G4" s="3" t="s">
        <v>182</v>
      </c>
      <c r="H4" s="3" t="s">
        <v>183</v>
      </c>
      <c r="I4" s="3" t="s">
        <v>111</v>
      </c>
      <c r="J4" s="3" t="s">
        <v>115</v>
      </c>
      <c r="K4" s="3" t="s">
        <v>184</v>
      </c>
      <c r="L4" s="3" t="s">
        <v>185</v>
      </c>
      <c r="M4" s="3" t="s">
        <v>186</v>
      </c>
      <c r="N4" s="3" t="s">
        <v>187</v>
      </c>
      <c r="O4" s="3" t="s">
        <v>188</v>
      </c>
    </row>
    <row r="5" customFormat="false" ht="30" hidden="false" customHeight="true" outlineLevel="0" collapsed="false">
      <c r="A5" s="4" t="s">
        <v>134</v>
      </c>
      <c r="B5" s="16" t="n">
        <v>1</v>
      </c>
      <c r="C5" s="16" t="n">
        <v>1</v>
      </c>
      <c r="D5" s="16" t="n">
        <v>2</v>
      </c>
      <c r="E5" s="16" t="n">
        <v>1</v>
      </c>
      <c r="F5" s="17" t="n">
        <f aca="false">'Scoring Methodology'!$B$41</f>
        <v>1.5</v>
      </c>
      <c r="G5" s="4" t="s">
        <v>189</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190</v>
      </c>
      <c r="O5" s="4" t="s">
        <v>191</v>
      </c>
    </row>
    <row r="6" customFormat="false" ht="30" hidden="false" customHeight="true" outlineLevel="0" collapsed="false">
      <c r="A6" s="5" t="s">
        <v>136</v>
      </c>
      <c r="B6" s="19" t="n">
        <v>2</v>
      </c>
      <c r="C6" s="19" t="n">
        <v>2</v>
      </c>
      <c r="D6" s="19" t="n">
        <v>3</v>
      </c>
      <c r="E6" s="19" t="n">
        <v>2</v>
      </c>
      <c r="F6" s="20" t="n">
        <f aca="false">'Scoring Methodology'!$B$42</f>
        <v>1.25</v>
      </c>
      <c r="G6" s="5" t="s">
        <v>192</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193</v>
      </c>
      <c r="O6" s="5" t="s">
        <v>194</v>
      </c>
    </row>
    <row r="7" customFormat="false" ht="30" hidden="false" customHeight="true" outlineLevel="0" collapsed="false">
      <c r="A7" s="4" t="s">
        <v>138</v>
      </c>
      <c r="B7" s="16" t="n">
        <v>1</v>
      </c>
      <c r="C7" s="16" t="n">
        <v>1</v>
      </c>
      <c r="D7" s="16" t="n">
        <v>2</v>
      </c>
      <c r="E7" s="16" t="n">
        <v>1</v>
      </c>
      <c r="F7" s="17" t="n">
        <f aca="false">'Scoring Methodology'!$B$43</f>
        <v>1.25</v>
      </c>
      <c r="G7" s="4" t="s">
        <v>195</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196</v>
      </c>
      <c r="O7" s="4" t="s">
        <v>197</v>
      </c>
    </row>
    <row r="8" customFormat="false" ht="30" hidden="false" customHeight="true" outlineLevel="0" collapsed="false">
      <c r="A8" s="5" t="s">
        <v>139</v>
      </c>
      <c r="B8" s="19" t="n">
        <v>2</v>
      </c>
      <c r="C8" s="19" t="n">
        <v>1</v>
      </c>
      <c r="D8" s="19" t="n">
        <v>3</v>
      </c>
      <c r="E8" s="19" t="n">
        <v>2</v>
      </c>
      <c r="F8" s="20" t="n">
        <f aca="false">'Scoring Methodology'!$B$44</f>
        <v>1.25</v>
      </c>
      <c r="G8" s="5" t="s">
        <v>195</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198</v>
      </c>
      <c r="O8" s="5" t="s">
        <v>199</v>
      </c>
    </row>
    <row r="9" customFormat="false" ht="30" hidden="false" customHeight="true" outlineLevel="0" collapsed="false">
      <c r="A9" s="4" t="s">
        <v>140</v>
      </c>
      <c r="B9" s="16" t="n">
        <v>2</v>
      </c>
      <c r="C9" s="16" t="n">
        <v>2</v>
      </c>
      <c r="D9" s="16" t="n">
        <v>4</v>
      </c>
      <c r="E9" s="16" t="n">
        <v>2</v>
      </c>
      <c r="F9" s="17" t="n">
        <f aca="false">'Scoring Methodology'!$B$45</f>
        <v>1.5</v>
      </c>
      <c r="G9" s="4" t="s">
        <v>195</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200</v>
      </c>
      <c r="O9" s="4" t="s">
        <v>201</v>
      </c>
    </row>
    <row r="10" customFormat="false" ht="30" hidden="false" customHeight="true" outlineLevel="0" collapsed="false">
      <c r="A10" s="5" t="s">
        <v>141</v>
      </c>
      <c r="B10" s="19" t="n">
        <v>2</v>
      </c>
      <c r="C10" s="19" t="n">
        <v>2</v>
      </c>
      <c r="D10" s="19" t="n">
        <v>4</v>
      </c>
      <c r="E10" s="19" t="n">
        <v>2</v>
      </c>
      <c r="F10" s="20" t="n">
        <f aca="false">'Scoring Methodology'!$B$46</f>
        <v>1.25</v>
      </c>
      <c r="G10" s="5" t="s">
        <v>195</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202</v>
      </c>
      <c r="O10" s="5" t="s">
        <v>199</v>
      </c>
    </row>
    <row r="11" customFormat="false" ht="30" hidden="false" customHeight="true" outlineLevel="0" collapsed="false">
      <c r="A11" s="4" t="s">
        <v>142</v>
      </c>
      <c r="B11" s="16" t="n">
        <v>2</v>
      </c>
      <c r="C11" s="16" t="n">
        <v>1</v>
      </c>
      <c r="D11" s="16" t="n">
        <v>3</v>
      </c>
      <c r="E11" s="16" t="n">
        <v>2</v>
      </c>
      <c r="F11" s="17" t="n">
        <f aca="false">'Scoring Methodology'!$B$47</f>
        <v>1.25</v>
      </c>
      <c r="G11" s="4" t="s">
        <v>189</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203</v>
      </c>
      <c r="O11" s="4" t="s">
        <v>201</v>
      </c>
    </row>
    <row r="12" customFormat="false" ht="30" hidden="false" customHeight="true" outlineLevel="0" collapsed="false">
      <c r="A12" s="5" t="s">
        <v>143</v>
      </c>
      <c r="B12" s="19" t="n">
        <v>2</v>
      </c>
      <c r="C12" s="19" t="n">
        <v>1</v>
      </c>
      <c r="D12" s="19" t="n">
        <v>3</v>
      </c>
      <c r="E12" s="19" t="n">
        <v>2</v>
      </c>
      <c r="F12" s="20" t="n">
        <f aca="false">'Scoring Methodology'!$B$48</f>
        <v>1</v>
      </c>
      <c r="G12" s="5" t="s">
        <v>195</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204</v>
      </c>
      <c r="O12" s="5" t="s">
        <v>201</v>
      </c>
    </row>
    <row r="13" customFormat="false" ht="30" hidden="false" customHeight="true" outlineLevel="0" collapsed="false">
      <c r="A13" s="4" t="s">
        <v>145</v>
      </c>
      <c r="B13" s="16" t="n">
        <v>2</v>
      </c>
      <c r="C13" s="16" t="n">
        <v>2</v>
      </c>
      <c r="D13" s="16" t="n">
        <v>4</v>
      </c>
      <c r="E13" s="16" t="n">
        <v>2</v>
      </c>
      <c r="F13" s="17" t="n">
        <f aca="false">'Scoring Methodology'!$B$49</f>
        <v>1.25</v>
      </c>
      <c r="G13" s="4" t="s">
        <v>205</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206</v>
      </c>
      <c r="O13" s="4" t="s">
        <v>207</v>
      </c>
    </row>
    <row r="14" customFormat="false" ht="30" hidden="false" customHeight="true" outlineLevel="0" collapsed="false">
      <c r="A14" s="5" t="s">
        <v>146</v>
      </c>
      <c r="B14" s="19" t="n">
        <v>3</v>
      </c>
      <c r="C14" s="19" t="n">
        <v>2</v>
      </c>
      <c r="D14" s="19" t="n">
        <v>3</v>
      </c>
      <c r="E14" s="19" t="n">
        <v>3</v>
      </c>
      <c r="F14" s="20" t="n">
        <f aca="false">'Scoring Methodology'!$B$50</f>
        <v>1.25</v>
      </c>
      <c r="G14" s="5" t="s">
        <v>208</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209</v>
      </c>
      <c r="O14" s="5" t="s">
        <v>210</v>
      </c>
    </row>
    <row r="15" customFormat="false" ht="30" hidden="false" customHeight="true" outlineLevel="0" collapsed="false">
      <c r="A15" s="4" t="s">
        <v>147</v>
      </c>
      <c r="B15" s="16" t="n">
        <v>2</v>
      </c>
      <c r="C15" s="16" t="n">
        <v>2</v>
      </c>
      <c r="D15" s="16" t="n">
        <v>3</v>
      </c>
      <c r="E15" s="16" t="n">
        <v>2</v>
      </c>
      <c r="F15" s="17" t="n">
        <f aca="false">'Scoring Methodology'!$B$51</f>
        <v>1</v>
      </c>
      <c r="G15" s="4" t="s">
        <v>211</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212</v>
      </c>
      <c r="O15" s="4" t="s">
        <v>207</v>
      </c>
    </row>
    <row r="16" customFormat="false" ht="30" hidden="false" customHeight="true" outlineLevel="0" collapsed="false">
      <c r="A16" s="5" t="s">
        <v>148</v>
      </c>
      <c r="B16" s="19" t="n">
        <v>2</v>
      </c>
      <c r="C16" s="19" t="n">
        <v>1</v>
      </c>
      <c r="D16" s="19" t="n">
        <v>3</v>
      </c>
      <c r="E16" s="19" t="n">
        <v>2</v>
      </c>
      <c r="F16" s="20" t="n">
        <f aca="false">'Scoring Methodology'!$B$52</f>
        <v>1.25</v>
      </c>
      <c r="G16" s="5" t="s">
        <v>213</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214</v>
      </c>
      <c r="O16" s="5" t="s">
        <v>191</v>
      </c>
    </row>
    <row r="17" customFormat="false" ht="30" hidden="false" customHeight="true" outlineLevel="0" collapsed="false">
      <c r="A17" s="4" t="s">
        <v>149</v>
      </c>
      <c r="B17" s="16" t="n">
        <v>2</v>
      </c>
      <c r="C17" s="16" t="n">
        <v>2</v>
      </c>
      <c r="D17" s="16" t="n">
        <v>4</v>
      </c>
      <c r="E17" s="16" t="n">
        <v>2</v>
      </c>
      <c r="F17" s="17" t="n">
        <f aca="false">'Scoring Methodology'!$B$53</f>
        <v>1.5</v>
      </c>
      <c r="G17" s="4" t="s">
        <v>195</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215</v>
      </c>
      <c r="O17" s="4" t="s">
        <v>216</v>
      </c>
    </row>
    <row r="18" customFormat="false" ht="30" hidden="false" customHeight="true" outlineLevel="0" collapsed="false">
      <c r="A18" s="5" t="s">
        <v>150</v>
      </c>
      <c r="B18" s="19" t="n">
        <v>1</v>
      </c>
      <c r="C18" s="19" t="n">
        <v>1</v>
      </c>
      <c r="D18" s="19" t="n">
        <v>2</v>
      </c>
      <c r="E18" s="19" t="n">
        <v>1</v>
      </c>
      <c r="F18" s="20" t="n">
        <f aca="false">'Scoring Methodology'!$B$54</f>
        <v>1.5</v>
      </c>
      <c r="G18" s="5" t="s">
        <v>205</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217</v>
      </c>
      <c r="O18" s="5" t="s">
        <v>218</v>
      </c>
    </row>
    <row r="19" customFormat="false" ht="30" hidden="false" customHeight="true" outlineLevel="0" collapsed="false">
      <c r="A19" s="4" t="s">
        <v>151</v>
      </c>
      <c r="B19" s="16" t="n">
        <v>2</v>
      </c>
      <c r="C19" s="16" t="n">
        <v>2</v>
      </c>
      <c r="D19" s="16" t="n">
        <v>4</v>
      </c>
      <c r="E19" s="16" t="n">
        <v>2</v>
      </c>
      <c r="F19" s="17" t="n">
        <f aca="false">'Scoring Methodology'!$B$55</f>
        <v>1</v>
      </c>
      <c r="G19" s="4" t="s">
        <v>219</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220</v>
      </c>
      <c r="O19" s="4" t="s">
        <v>221</v>
      </c>
    </row>
    <row r="20" customFormat="false" ht="30" hidden="false" customHeight="true" outlineLevel="0" collapsed="false">
      <c r="A20" s="5" t="s">
        <v>152</v>
      </c>
      <c r="B20" s="19" t="n">
        <v>1</v>
      </c>
      <c r="C20" s="19" t="n">
        <v>1</v>
      </c>
      <c r="D20" s="19" t="n">
        <v>3</v>
      </c>
      <c r="E20" s="19" t="n">
        <v>1</v>
      </c>
      <c r="F20" s="20" t="n">
        <f aca="false">'Scoring Methodology'!$B$56</f>
        <v>1</v>
      </c>
      <c r="G20" s="5" t="s">
        <v>219</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222</v>
      </c>
      <c r="O20" s="5" t="s">
        <v>223</v>
      </c>
    </row>
    <row r="21" customFormat="false" ht="30" hidden="false" customHeight="true" outlineLevel="0" collapsed="false">
      <c r="A21" s="4" t="s">
        <v>153</v>
      </c>
      <c r="B21" s="16" t="n">
        <v>2</v>
      </c>
      <c r="C21" s="16" t="n">
        <v>2</v>
      </c>
      <c r="D21" s="16" t="n">
        <v>4</v>
      </c>
      <c r="E21" s="16" t="n">
        <v>2</v>
      </c>
      <c r="F21" s="17" t="n">
        <f aca="false">'Scoring Methodology'!$B$57</f>
        <v>1.25</v>
      </c>
      <c r="G21" s="4" t="s">
        <v>219</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224</v>
      </c>
      <c r="O21" s="4" t="s">
        <v>225</v>
      </c>
    </row>
    <row r="22" customFormat="false" ht="30" hidden="false" customHeight="true" outlineLevel="0" collapsed="false">
      <c r="A22" s="5" t="s">
        <v>154</v>
      </c>
      <c r="B22" s="19" t="n">
        <v>1</v>
      </c>
      <c r="C22" s="19" t="n">
        <v>1</v>
      </c>
      <c r="D22" s="19" t="n">
        <v>3</v>
      </c>
      <c r="E22" s="19" t="n">
        <v>1</v>
      </c>
      <c r="F22" s="20" t="n">
        <f aca="false">'Scoring Methodology'!$B$58</f>
        <v>1.25</v>
      </c>
      <c r="G22" s="5" t="s">
        <v>226</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227</v>
      </c>
      <c r="O22" s="5" t="s">
        <v>228</v>
      </c>
    </row>
    <row r="23" customFormat="false" ht="30" hidden="false" customHeight="true" outlineLevel="0" collapsed="false">
      <c r="A23" s="4" t="s">
        <v>155</v>
      </c>
      <c r="B23" s="16" t="n">
        <v>2</v>
      </c>
      <c r="C23" s="16" t="n">
        <v>1</v>
      </c>
      <c r="D23" s="16" t="n">
        <v>3</v>
      </c>
      <c r="E23" s="16" t="n">
        <v>2</v>
      </c>
      <c r="F23" s="17" t="n">
        <f aca="false">'Scoring Methodology'!$B$59</f>
        <v>1.25</v>
      </c>
      <c r="G23" s="4" t="s">
        <v>195</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229</v>
      </c>
      <c r="O23" s="4" t="s">
        <v>230</v>
      </c>
    </row>
    <row r="24" customFormat="false" ht="30" hidden="false" customHeight="true" outlineLevel="0" collapsed="false">
      <c r="A24" s="5" t="s">
        <v>156</v>
      </c>
      <c r="B24" s="19" t="n">
        <v>2</v>
      </c>
      <c r="C24" s="19" t="n">
        <v>2</v>
      </c>
      <c r="D24" s="19" t="n">
        <v>3</v>
      </c>
      <c r="E24" s="19" t="n">
        <v>2</v>
      </c>
      <c r="F24" s="20" t="n">
        <f aca="false">'Scoring Methodology'!$B$60</f>
        <v>1.25</v>
      </c>
      <c r="G24" s="5" t="s">
        <v>231</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232</v>
      </c>
      <c r="O24" s="5" t="s">
        <v>233</v>
      </c>
    </row>
    <row r="25" customFormat="false" ht="30" hidden="false" customHeight="true" outlineLevel="0" collapsed="false">
      <c r="A25" s="4" t="s">
        <v>157</v>
      </c>
      <c r="B25" s="16" t="n">
        <v>2</v>
      </c>
      <c r="C25" s="16" t="n">
        <v>1</v>
      </c>
      <c r="D25" s="16" t="n">
        <v>3</v>
      </c>
      <c r="E25" s="16" t="n">
        <v>2</v>
      </c>
      <c r="F25" s="17" t="n">
        <f aca="false">'Scoring Methodology'!$B$61</f>
        <v>1</v>
      </c>
      <c r="G25" s="4" t="s">
        <v>195</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234</v>
      </c>
      <c r="O25" s="4" t="s">
        <v>235</v>
      </c>
    </row>
    <row r="26" customFormat="false" ht="30" hidden="false" customHeight="true" outlineLevel="0" collapsed="false">
      <c r="A26" s="5" t="s">
        <v>158</v>
      </c>
      <c r="B26" s="19" t="n">
        <v>1</v>
      </c>
      <c r="C26" s="19" t="n">
        <v>1</v>
      </c>
      <c r="D26" s="19" t="n">
        <v>2</v>
      </c>
      <c r="E26" s="19" t="n">
        <v>1</v>
      </c>
      <c r="F26" s="20" t="n">
        <f aca="false">'Scoring Methodology'!$B$62</f>
        <v>0.75</v>
      </c>
      <c r="G26" s="5" t="s">
        <v>192</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236</v>
      </c>
      <c r="O26" s="5" t="s">
        <v>237</v>
      </c>
    </row>
    <row r="27" customFormat="false" ht="30" hidden="false" customHeight="true" outlineLevel="0" collapsed="false">
      <c r="A27" s="4" t="s">
        <v>160</v>
      </c>
      <c r="B27" s="16" t="n">
        <v>2</v>
      </c>
      <c r="C27" s="16" t="n">
        <v>2</v>
      </c>
      <c r="D27" s="16" t="n">
        <v>4</v>
      </c>
      <c r="E27" s="16" t="n">
        <v>2</v>
      </c>
      <c r="F27" s="17" t="n">
        <f aca="false">'Scoring Methodology'!$B$63</f>
        <v>1.25</v>
      </c>
      <c r="G27" s="4" t="s">
        <v>238</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239</v>
      </c>
      <c r="O27" s="4" t="s">
        <v>240</v>
      </c>
    </row>
    <row r="28" customFormat="false" ht="30" hidden="false" customHeight="true" outlineLevel="0" collapsed="false">
      <c r="A28" s="5" t="s">
        <v>161</v>
      </c>
      <c r="B28" s="19" t="n">
        <v>2</v>
      </c>
      <c r="C28" s="19" t="n">
        <v>1</v>
      </c>
      <c r="D28" s="19" t="n">
        <v>3</v>
      </c>
      <c r="E28" s="19" t="n">
        <v>2</v>
      </c>
      <c r="F28" s="20" t="n">
        <f aca="false">'Scoring Methodology'!$B$64</f>
        <v>1</v>
      </c>
      <c r="G28" s="5" t="s">
        <v>241</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242</v>
      </c>
      <c r="O28" s="5" t="s">
        <v>243</v>
      </c>
    </row>
    <row r="29" customFormat="false" ht="30" hidden="false" customHeight="true" outlineLevel="0" collapsed="false">
      <c r="A29" s="4" t="s">
        <v>162</v>
      </c>
      <c r="B29" s="16" t="n">
        <v>2</v>
      </c>
      <c r="C29" s="16" t="n">
        <v>2</v>
      </c>
      <c r="D29" s="16" t="n">
        <v>3</v>
      </c>
      <c r="E29" s="16" t="n">
        <v>2</v>
      </c>
      <c r="F29" s="17" t="n">
        <f aca="false">'Scoring Methodology'!$B$65</f>
        <v>1.25</v>
      </c>
      <c r="G29" s="4" t="s">
        <v>192</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244</v>
      </c>
      <c r="O29" s="4" t="s">
        <v>245</v>
      </c>
    </row>
    <row r="30" customFormat="false" ht="30" hidden="false" customHeight="true" outlineLevel="0" collapsed="false">
      <c r="A30" s="5" t="s">
        <v>163</v>
      </c>
      <c r="B30" s="19" t="n">
        <v>4</v>
      </c>
      <c r="C30" s="19" t="n">
        <v>4</v>
      </c>
      <c r="D30" s="19" t="n">
        <v>5</v>
      </c>
      <c r="E30" s="19" t="n">
        <v>4</v>
      </c>
      <c r="F30" s="20" t="n">
        <f aca="false">'Scoring Methodology'!$B$66</f>
        <v>1.5</v>
      </c>
      <c r="G30" s="5" t="s">
        <v>219</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246</v>
      </c>
      <c r="O30" s="5" t="s">
        <v>247</v>
      </c>
    </row>
    <row r="31" customFormat="false" ht="30" hidden="false" customHeight="true" outlineLevel="0" collapsed="false">
      <c r="A31" s="4" t="s">
        <v>164</v>
      </c>
      <c r="B31" s="16" t="n">
        <v>2</v>
      </c>
      <c r="C31" s="16" t="n">
        <v>2</v>
      </c>
      <c r="D31" s="16" t="n">
        <v>3</v>
      </c>
      <c r="E31" s="16" t="n">
        <v>2</v>
      </c>
      <c r="F31" s="17" t="n">
        <f aca="false">'Scoring Methodology'!$B$67</f>
        <v>1.25</v>
      </c>
      <c r="G31" s="4" t="s">
        <v>248</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249</v>
      </c>
      <c r="O31" s="4" t="s">
        <v>250</v>
      </c>
    </row>
    <row r="32" customFormat="false" ht="30" hidden="false" customHeight="true" outlineLevel="0" collapsed="false">
      <c r="A32" s="5" t="s">
        <v>165</v>
      </c>
      <c r="B32" s="19" t="n">
        <v>4</v>
      </c>
      <c r="C32" s="19" t="n">
        <v>4</v>
      </c>
      <c r="D32" s="19" t="n">
        <v>5</v>
      </c>
      <c r="E32" s="19" t="n">
        <v>4</v>
      </c>
      <c r="F32" s="20" t="n">
        <f aca="false">'Scoring Methodology'!$B$68</f>
        <v>1.5</v>
      </c>
      <c r="G32" s="5" t="s">
        <v>248</v>
      </c>
      <c r="H32" s="20" t="n">
        <f aca="false">ROUND(AVERAGE(B32:E32),2)</f>
        <v>4.25</v>
      </c>
      <c r="I32" s="20" t="n">
        <v>5</v>
      </c>
      <c r="J32" s="20" t="n">
        <f aca="false">ROUND(MAX(0,I32-H32)*F32,2)</f>
        <v>1.13</v>
      </c>
      <c r="K32" s="21" t="str">
        <f aca="false">IF(J32&gt;='Scoring Methodology'!$B$34,"Critical",IF(J32&gt;='Scoring Methodology'!$B$35,"High",IF(J32&gt;='Scoring Methodology'!$B$36,"Medium","Low")))</f>
        <v>Low</v>
      </c>
      <c r="L32" s="19" t="n">
        <v>4.75</v>
      </c>
      <c r="M32" s="20" t="n">
        <f aca="false">ROUND(L32-H32,2)</f>
        <v>0.5</v>
      </c>
      <c r="N32" s="5" t="s">
        <v>251</v>
      </c>
      <c r="O32" s="5" t="s">
        <v>252</v>
      </c>
    </row>
    <row r="33" customFormat="false" ht="30" hidden="false" customHeight="true" outlineLevel="0" collapsed="false">
      <c r="A33" s="4" t="s">
        <v>166</v>
      </c>
      <c r="B33" s="16" t="n">
        <v>3</v>
      </c>
      <c r="C33" s="16" t="n">
        <v>3</v>
      </c>
      <c r="D33" s="16" t="n">
        <v>4</v>
      </c>
      <c r="E33" s="16" t="n">
        <v>3</v>
      </c>
      <c r="F33" s="17" t="n">
        <f aca="false">'Scoring Methodology'!$B$69</f>
        <v>1.25</v>
      </c>
      <c r="G33" s="4" t="s">
        <v>192</v>
      </c>
      <c r="H33" s="17" t="n">
        <f aca="false">ROUND(AVERAGE(B33:E33),2)</f>
        <v>3.25</v>
      </c>
      <c r="I33" s="17" t="n">
        <v>4</v>
      </c>
      <c r="J33" s="17" t="n">
        <f aca="false">ROUND(MAX(0,I33-H33)*F33,2)</f>
        <v>0.94</v>
      </c>
      <c r="K33" s="18" t="str">
        <f aca="false">IF(J33&gt;='Scoring Methodology'!$B$34,"Critical",IF(J33&gt;='Scoring Methodology'!$B$35,"High",IF(J33&gt;='Scoring Methodology'!$B$36,"Medium","Low")))</f>
        <v>Low</v>
      </c>
      <c r="L33" s="16" t="n">
        <v>4.5</v>
      </c>
      <c r="M33" s="17" t="n">
        <f aca="false">ROUND(L33-H33,2)</f>
        <v>1.25</v>
      </c>
      <c r="N33" s="4" t="s">
        <v>253</v>
      </c>
      <c r="O33" s="4" t="s">
        <v>254</v>
      </c>
    </row>
    <row r="34" customFormat="false" ht="30" hidden="false" customHeight="true" outlineLevel="0" collapsed="false">
      <c r="A34" s="5" t="s">
        <v>167</v>
      </c>
      <c r="B34" s="19" t="n">
        <v>1</v>
      </c>
      <c r="C34" s="19" t="n">
        <v>1</v>
      </c>
      <c r="D34" s="19" t="n">
        <v>3</v>
      </c>
      <c r="E34" s="19" t="n">
        <v>1</v>
      </c>
      <c r="F34" s="20" t="n">
        <f aca="false">'Scoring Methodology'!$B$70</f>
        <v>1.25</v>
      </c>
      <c r="G34" s="5" t="s">
        <v>255</v>
      </c>
      <c r="H34" s="20" t="n">
        <f aca="false">ROUND(AVERAGE(B34:E34),2)</f>
        <v>1.5</v>
      </c>
      <c r="I34" s="20" t="n">
        <v>5</v>
      </c>
      <c r="J34" s="20" t="n">
        <f aca="false">ROUND(MAX(0,I34-H34)*F34,2)</f>
        <v>4.38</v>
      </c>
      <c r="K34" s="21" t="str">
        <f aca="false">IF(J34&gt;='Scoring Methodology'!$B$34,"Critical",IF(J34&gt;='Scoring Methodology'!$B$35,"High",IF(J34&gt;='Scoring Methodology'!$B$36,"Medium","Low")))</f>
        <v>High</v>
      </c>
      <c r="L34" s="19" t="n">
        <v>4</v>
      </c>
      <c r="M34" s="20" t="n">
        <f aca="false">ROUND(L34-H34,2)</f>
        <v>2.5</v>
      </c>
      <c r="N34" s="5" t="s">
        <v>256</v>
      </c>
      <c r="O34" s="5" t="s">
        <v>257</v>
      </c>
    </row>
    <row r="35" customFormat="false" ht="30" hidden="false" customHeight="true" outlineLevel="0" collapsed="false">
      <c r="A35" s="4" t="s">
        <v>168</v>
      </c>
      <c r="B35" s="16" t="n">
        <v>3</v>
      </c>
      <c r="C35" s="16" t="n">
        <v>2</v>
      </c>
      <c r="D35" s="16" t="n">
        <v>4</v>
      </c>
      <c r="E35" s="16" t="n">
        <v>3</v>
      </c>
      <c r="F35" s="17" t="n">
        <f aca="false">'Scoring Methodology'!$B$71</f>
        <v>1</v>
      </c>
      <c r="G35" s="4" t="s">
        <v>258</v>
      </c>
      <c r="H35" s="17" t="n">
        <f aca="false">ROUND(AVERAGE(B35:E35),2)</f>
        <v>3</v>
      </c>
      <c r="I35" s="17" t="n">
        <v>5</v>
      </c>
      <c r="J35" s="17" t="n">
        <f aca="false">ROUND(MAX(0,I35-H35)*F35,2)</f>
        <v>2</v>
      </c>
      <c r="K35" s="18" t="str">
        <f aca="false">IF(J35&gt;='Scoring Methodology'!$B$34,"Critical",IF(J35&gt;='Scoring Methodology'!$B$35,"High",IF(J35&gt;='Scoring Methodology'!$B$36,"Medium","Low")))</f>
        <v>Medium</v>
      </c>
      <c r="L35" s="16" t="n">
        <v>4.5</v>
      </c>
      <c r="M35" s="17" t="n">
        <f aca="false">ROUND(L35-H35,2)</f>
        <v>1.5</v>
      </c>
      <c r="N35" s="4" t="s">
        <v>259</v>
      </c>
      <c r="O35" s="4" t="s">
        <v>260</v>
      </c>
    </row>
    <row r="36" customFormat="false" ht="30" hidden="false" customHeight="true" outlineLevel="0" collapsed="false">
      <c r="A36" s="5" t="s">
        <v>169</v>
      </c>
      <c r="B36" s="19" t="n">
        <v>1</v>
      </c>
      <c r="C36" s="19" t="n">
        <v>1</v>
      </c>
      <c r="D36" s="19" t="n">
        <v>2</v>
      </c>
      <c r="E36" s="19" t="n">
        <v>1</v>
      </c>
      <c r="F36" s="20" t="n">
        <f aca="false">'Scoring Methodology'!$B$72</f>
        <v>1.25</v>
      </c>
      <c r="G36" s="5" t="s">
        <v>195</v>
      </c>
      <c r="H36" s="20" t="n">
        <f aca="false">ROUND(AVERAGE(B36:E36),2)</f>
        <v>1.25</v>
      </c>
      <c r="I36" s="20" t="n">
        <v>5</v>
      </c>
      <c r="J36" s="20" t="n">
        <f aca="false">ROUND(MAX(0,I36-H36)*F36,2)</f>
        <v>4.69</v>
      </c>
      <c r="K36" s="21" t="str">
        <f aca="false">IF(J36&gt;='Scoring Methodology'!$B$34,"Critical",IF(J36&gt;='Scoring Methodology'!$B$35,"High",IF(J36&gt;='Scoring Methodology'!$B$36,"Medium","Low")))</f>
        <v>Critical</v>
      </c>
      <c r="L36" s="19" t="n">
        <v>4</v>
      </c>
      <c r="M36" s="20" t="n">
        <f aca="false">ROUND(L36-H36,2)</f>
        <v>2.75</v>
      </c>
      <c r="N36" s="5" t="s">
        <v>261</v>
      </c>
      <c r="O36" s="5" t="s">
        <v>262</v>
      </c>
    </row>
    <row r="37" customFormat="false" ht="30" hidden="false" customHeight="true" outlineLevel="0" collapsed="false">
      <c r="A37" s="4" t="s">
        <v>170</v>
      </c>
      <c r="B37" s="16" t="n">
        <v>2</v>
      </c>
      <c r="C37" s="16" t="n">
        <v>2</v>
      </c>
      <c r="D37" s="16" t="n">
        <v>4</v>
      </c>
      <c r="E37" s="16" t="n">
        <v>2</v>
      </c>
      <c r="F37" s="17" t="n">
        <f aca="false">'Scoring Methodology'!$B$73</f>
        <v>1</v>
      </c>
      <c r="G37" s="4" t="s">
        <v>219</v>
      </c>
      <c r="H37" s="17" t="n">
        <f aca="false">ROUND(AVERAGE(B37:E37),2)</f>
        <v>2.5</v>
      </c>
      <c r="I37" s="17" t="n">
        <v>4</v>
      </c>
      <c r="J37" s="17" t="n">
        <f aca="false">ROUND(MAX(0,I37-H37)*F37,2)</f>
        <v>1.5</v>
      </c>
      <c r="K37" s="18" t="str">
        <f aca="false">IF(J37&gt;='Scoring Methodology'!$B$34,"Critical",IF(J37&gt;='Scoring Methodology'!$B$35,"High",IF(J37&gt;='Scoring Methodology'!$B$36,"Medium","Low")))</f>
        <v>Medium</v>
      </c>
      <c r="L37" s="16" t="n">
        <v>4</v>
      </c>
      <c r="M37" s="17" t="n">
        <f aca="false">ROUND(L37-H37,2)</f>
        <v>1.5</v>
      </c>
      <c r="N37" s="4" t="s">
        <v>263</v>
      </c>
      <c r="O37" s="4" t="s">
        <v>264</v>
      </c>
    </row>
    <row r="38" customFormat="false" ht="30" hidden="false" customHeight="true" outlineLevel="0" collapsed="false">
      <c r="A38" s="5" t="s">
        <v>171</v>
      </c>
      <c r="B38" s="19" t="n">
        <v>3</v>
      </c>
      <c r="C38" s="19" t="n">
        <v>2</v>
      </c>
      <c r="D38" s="19" t="n">
        <v>4</v>
      </c>
      <c r="E38" s="19" t="n">
        <v>3</v>
      </c>
      <c r="F38" s="20" t="n">
        <f aca="false">'Scoring Methodology'!$B$74</f>
        <v>1.25</v>
      </c>
      <c r="G38" s="5" t="s">
        <v>195</v>
      </c>
      <c r="H38" s="20" t="n">
        <f aca="false">ROUND(AVERAGE(B38:E38),2)</f>
        <v>3</v>
      </c>
      <c r="I38" s="20" t="n">
        <v>5</v>
      </c>
      <c r="J38" s="20" t="n">
        <f aca="false">ROUND(MAX(0,I38-H38)*F38,2)</f>
        <v>2.5</v>
      </c>
      <c r="K38" s="21" t="str">
        <f aca="false">IF(J38&gt;='Scoring Methodology'!$B$34,"Critical",IF(J38&gt;='Scoring Methodology'!$B$35,"High",IF(J38&gt;='Scoring Methodology'!$B$36,"Medium","Low")))</f>
        <v>Medium</v>
      </c>
      <c r="L38" s="19" t="n">
        <v>4.5</v>
      </c>
      <c r="M38" s="20" t="n">
        <f aca="false">ROUND(L38-H38,2)</f>
        <v>1.5</v>
      </c>
      <c r="N38" s="5" t="s">
        <v>265</v>
      </c>
      <c r="O38" s="5" t="s">
        <v>266</v>
      </c>
    </row>
    <row r="39" customFormat="false" ht="30" hidden="false" customHeight="true" outlineLevel="0" collapsed="false">
      <c r="A39" s="4" t="s">
        <v>172</v>
      </c>
      <c r="B39" s="16" t="n">
        <v>3</v>
      </c>
      <c r="C39" s="16" t="n">
        <v>3</v>
      </c>
      <c r="D39" s="16" t="n">
        <v>4</v>
      </c>
      <c r="E39" s="16" t="n">
        <v>3</v>
      </c>
      <c r="F39" s="17" t="n">
        <f aca="false">'Scoring Methodology'!$B$75</f>
        <v>1</v>
      </c>
      <c r="G39" s="4" t="s">
        <v>192</v>
      </c>
      <c r="H39" s="17" t="n">
        <f aca="false">ROUND(AVERAGE(B39:E39),2)</f>
        <v>3.25</v>
      </c>
      <c r="I39" s="17" t="n">
        <v>4</v>
      </c>
      <c r="J39" s="17" t="n">
        <f aca="false">ROUND(MAX(0,I39-H39)*F39,2)</f>
        <v>0.75</v>
      </c>
      <c r="K39" s="18" t="str">
        <f aca="false">IF(J39&gt;='Scoring Methodology'!$B$34,"Critical",IF(J39&gt;='Scoring Methodology'!$B$35,"High",IF(J39&gt;='Scoring Methodology'!$B$36,"Medium","Low")))</f>
        <v>Low</v>
      </c>
      <c r="L39" s="16" t="n">
        <v>4.25</v>
      </c>
      <c r="M39" s="17" t="n">
        <f aca="false">ROUND(L39-H39,2)</f>
        <v>1</v>
      </c>
      <c r="N39" s="4" t="s">
        <v>267</v>
      </c>
      <c r="O39" s="4" t="s">
        <v>268</v>
      </c>
    </row>
    <row r="41" customFormat="false" ht="32.8" hidden="false" customHeight="false" outlineLevel="0" collapsed="false">
      <c r="A41" s="14" t="s">
        <v>269</v>
      </c>
      <c r="H41" s="22" t="n">
        <f aca="false">ROUND(AVERAGE(H5:H39),2)</f>
        <v>2.28</v>
      </c>
      <c r="J41" s="22" t="n">
        <f aca="false">ROUND(SUM(J5:J39),2)</f>
        <v>107.5</v>
      </c>
      <c r="L41" s="22" t="n">
        <f aca="false">ROUND(AVERAGE(L5:L39),2)</f>
        <v>4.41</v>
      </c>
      <c r="M41" s="22" t="n">
        <f aca="false">ROUND(L41-H41,2)</f>
        <v>2.13</v>
      </c>
      <c r="N41" s="23" t="s">
        <v>270</v>
      </c>
    </row>
  </sheetData>
  <autoFilter ref="A4:O4"/>
  <conditionalFormatting sqref="B5:E39">
    <cfRule type="colorScale" priority="2">
      <colorScale>
        <cfvo type="num" val="0"/>
        <cfvo type="num" val="2.5"/>
        <cfvo type="num" val="5"/>
        <color rgb="FFF4B7B7"/>
        <color rgb="FFFFE9A8"/>
        <color rgb="FFB7DDBE"/>
      </colorScale>
    </cfRule>
  </conditionalFormatting>
  <conditionalFormatting sqref="H5:I39">
    <cfRule type="colorScale" priority="3">
      <colorScale>
        <cfvo type="num" val="0"/>
        <cfvo type="num" val="2.5"/>
        <cfvo type="num" val="5"/>
        <color rgb="FFF4B7B7"/>
        <color rgb="FFFFE9A8"/>
        <color rgb="FFB7DDBE"/>
      </colorScale>
    </cfRule>
  </conditionalFormatting>
  <conditionalFormatting sqref="L5:L39">
    <cfRule type="colorScale" priority="4">
      <colorScale>
        <cfvo type="num" val="0"/>
        <cfvo type="num" val="2.5"/>
        <cfvo type="num" val="5"/>
        <color rgb="FFF4B7B7"/>
        <color rgb="FFFFE9A8"/>
        <color rgb="FFB7DDBE"/>
      </colorScale>
    </cfRule>
  </conditionalFormatting>
  <conditionalFormatting sqref="J5:J39">
    <cfRule type="colorScale" priority="5">
      <colorScale>
        <cfvo type="num" val="0"/>
        <cfvo type="num" val="1.5"/>
        <cfvo type="num" val="3.5"/>
        <color rgb="FFB7DDBE"/>
        <color rgb="FFFFE9A8"/>
        <color rgb="FFF4B7B7"/>
      </colorScale>
    </cfRule>
  </conditionalFormatting>
  <conditionalFormatting sqref="K5:K39">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271</v>
      </c>
    </row>
    <row r="2" customFormat="false" ht="15" hidden="false" customHeight="false" outlineLevel="0" collapsed="false">
      <c r="A2" s="2" t="s">
        <v>272</v>
      </c>
    </row>
    <row r="4" customFormat="false" ht="30" hidden="false" customHeight="true" outlineLevel="0" collapsed="false">
      <c r="A4" s="3" t="s">
        <v>273</v>
      </c>
      <c r="B4" s="3" t="s">
        <v>131</v>
      </c>
      <c r="C4" s="3" t="s">
        <v>184</v>
      </c>
      <c r="D4" s="3" t="s">
        <v>115</v>
      </c>
      <c r="E4" s="3" t="s">
        <v>274</v>
      </c>
      <c r="F4" s="3" t="s">
        <v>275</v>
      </c>
      <c r="G4" s="3" t="s">
        <v>187</v>
      </c>
      <c r="H4" s="3" t="s">
        <v>276</v>
      </c>
      <c r="I4" s="3" t="s">
        <v>277</v>
      </c>
    </row>
    <row r="5" customFormat="false" ht="57.75" hidden="false" customHeight="true" outlineLevel="0" collapsed="false">
      <c r="A5" s="17" t="n">
        <v>1</v>
      </c>
      <c r="B5" s="4" t="s">
        <v>134</v>
      </c>
      <c r="C5" s="16" t="str">
        <f aca="false">'Gap Assessment'!K5</f>
        <v>Critical</v>
      </c>
      <c r="D5" s="17" t="n">
        <f aca="false">'Gap Assessment'!J5</f>
        <v>5.63</v>
      </c>
      <c r="E5" s="4" t="s">
        <v>278</v>
      </c>
      <c r="F5" s="4" t="s">
        <v>279</v>
      </c>
      <c r="G5" s="4" t="s">
        <v>190</v>
      </c>
      <c r="H5" s="4" t="s">
        <v>280</v>
      </c>
      <c r="I5" s="4" t="s">
        <v>281</v>
      </c>
    </row>
    <row r="6" customFormat="false" ht="57.75" hidden="false" customHeight="true" outlineLevel="0" collapsed="false">
      <c r="A6" s="20" t="n">
        <v>2</v>
      </c>
      <c r="B6" s="5" t="s">
        <v>150</v>
      </c>
      <c r="C6" s="19" t="str">
        <f aca="false">'Gap Assessment'!K18</f>
        <v>Critical</v>
      </c>
      <c r="D6" s="20" t="n">
        <f aca="false">'Gap Assessment'!J18</f>
        <v>5.63</v>
      </c>
      <c r="E6" s="5" t="s">
        <v>282</v>
      </c>
      <c r="F6" s="5" t="s">
        <v>283</v>
      </c>
      <c r="G6" s="5" t="s">
        <v>217</v>
      </c>
      <c r="H6" s="5" t="s">
        <v>284</v>
      </c>
      <c r="I6" s="5" t="s">
        <v>281</v>
      </c>
    </row>
    <row r="7" customFormat="false" ht="57.75" hidden="false" customHeight="true" outlineLevel="0" collapsed="false">
      <c r="A7" s="17" t="n">
        <v>3</v>
      </c>
      <c r="B7" s="4" t="s">
        <v>138</v>
      </c>
      <c r="C7" s="16" t="str">
        <f aca="false">'Gap Assessment'!K7</f>
        <v>Critical</v>
      </c>
      <c r="D7" s="17" t="n">
        <f aca="false">'Gap Assessment'!J7</f>
        <v>4.69</v>
      </c>
      <c r="E7" s="4" t="s">
        <v>285</v>
      </c>
      <c r="F7" s="4" t="s">
        <v>286</v>
      </c>
      <c r="G7" s="4" t="s">
        <v>196</v>
      </c>
      <c r="H7" s="4" t="s">
        <v>284</v>
      </c>
      <c r="I7" s="4" t="s">
        <v>281</v>
      </c>
    </row>
    <row r="8" customFormat="false" ht="57.75" hidden="false" customHeight="true" outlineLevel="0" collapsed="false">
      <c r="A8" s="20" t="n">
        <v>4</v>
      </c>
      <c r="B8" s="5" t="s">
        <v>169</v>
      </c>
      <c r="C8" s="19" t="str">
        <f aca="false">'Gap Assessment'!K36</f>
        <v>Critical</v>
      </c>
      <c r="D8" s="20" t="n">
        <f aca="false">'Gap Assessment'!J36</f>
        <v>4.69</v>
      </c>
      <c r="E8" s="5" t="s">
        <v>287</v>
      </c>
      <c r="F8" s="5" t="s">
        <v>288</v>
      </c>
      <c r="G8" s="5" t="s">
        <v>261</v>
      </c>
      <c r="H8" s="5" t="s">
        <v>289</v>
      </c>
      <c r="I8" s="5" t="s">
        <v>281</v>
      </c>
    </row>
    <row r="9" customFormat="false" ht="57.75" hidden="false" customHeight="true" outlineLevel="0" collapsed="false">
      <c r="A9" s="17" t="n">
        <v>5</v>
      </c>
      <c r="B9" s="4" t="s">
        <v>154</v>
      </c>
      <c r="C9" s="16" t="str">
        <f aca="false">'Gap Assessment'!K22</f>
        <v>High</v>
      </c>
      <c r="D9" s="17" t="n">
        <f aca="false">'Gap Assessment'!J22</f>
        <v>4.38</v>
      </c>
      <c r="E9" s="4" t="s">
        <v>290</v>
      </c>
      <c r="F9" s="4" t="s">
        <v>291</v>
      </c>
      <c r="G9" s="4" t="s">
        <v>227</v>
      </c>
      <c r="H9" s="4" t="s">
        <v>280</v>
      </c>
      <c r="I9" s="4" t="s">
        <v>281</v>
      </c>
    </row>
    <row r="10" customFormat="false" ht="57.75" hidden="false" customHeight="true" outlineLevel="0" collapsed="false">
      <c r="A10" s="20" t="n">
        <v>6</v>
      </c>
      <c r="B10" s="5" t="s">
        <v>167</v>
      </c>
      <c r="C10" s="19" t="str">
        <f aca="false">'Gap Assessment'!K34</f>
        <v>High</v>
      </c>
      <c r="D10" s="20" t="n">
        <f aca="false">'Gap Assessment'!J34</f>
        <v>4.38</v>
      </c>
      <c r="E10" s="5" t="s">
        <v>292</v>
      </c>
      <c r="F10" s="5" t="s">
        <v>293</v>
      </c>
      <c r="G10" s="5" t="s">
        <v>256</v>
      </c>
      <c r="H10" s="5" t="s">
        <v>294</v>
      </c>
      <c r="I10" s="5" t="s">
        <v>281</v>
      </c>
    </row>
    <row r="11" customFormat="false" ht="57.75" hidden="false" customHeight="true" outlineLevel="0" collapsed="false">
      <c r="A11" s="17" t="n">
        <v>7</v>
      </c>
      <c r="B11" s="4" t="s">
        <v>139</v>
      </c>
      <c r="C11" s="16" t="str">
        <f aca="false">'Gap Assessment'!K8</f>
        <v>High</v>
      </c>
      <c r="D11" s="17" t="n">
        <f aca="false">'Gap Assessment'!J8</f>
        <v>3.75</v>
      </c>
      <c r="E11" s="4" t="s">
        <v>295</v>
      </c>
      <c r="F11" s="4" t="s">
        <v>296</v>
      </c>
      <c r="G11" s="4" t="s">
        <v>198</v>
      </c>
      <c r="H11" s="4" t="s">
        <v>280</v>
      </c>
      <c r="I11" s="4" t="s">
        <v>281</v>
      </c>
    </row>
    <row r="12" customFormat="false" ht="57.75" hidden="false" customHeight="true" outlineLevel="0" collapsed="false">
      <c r="A12" s="20" t="n">
        <v>8</v>
      </c>
      <c r="B12" s="5" t="s">
        <v>140</v>
      </c>
      <c r="C12" s="19" t="str">
        <f aca="false">'Gap Assessment'!K9</f>
        <v>High</v>
      </c>
      <c r="D12" s="20" t="n">
        <f aca="false">'Gap Assessment'!J9</f>
        <v>3.75</v>
      </c>
      <c r="E12" s="5" t="s">
        <v>297</v>
      </c>
      <c r="F12" s="5" t="s">
        <v>298</v>
      </c>
      <c r="G12" s="5" t="s">
        <v>200</v>
      </c>
      <c r="H12" s="5" t="s">
        <v>280</v>
      </c>
      <c r="I12" s="5" t="s">
        <v>281</v>
      </c>
    </row>
    <row r="13" customFormat="false" ht="57.75" hidden="false" customHeight="true" outlineLevel="0" collapsed="false">
      <c r="A13" s="17" t="n">
        <v>9</v>
      </c>
      <c r="B13" s="4" t="s">
        <v>142</v>
      </c>
      <c r="C13" s="16" t="str">
        <f aca="false">'Gap Assessment'!K11</f>
        <v>High</v>
      </c>
      <c r="D13" s="17" t="n">
        <f aca="false">'Gap Assessment'!J11</f>
        <v>3.75</v>
      </c>
      <c r="E13" s="4" t="s">
        <v>299</v>
      </c>
      <c r="F13" s="4" t="s">
        <v>300</v>
      </c>
      <c r="G13" s="4" t="s">
        <v>203</v>
      </c>
      <c r="H13" s="4" t="s">
        <v>280</v>
      </c>
      <c r="I13" s="4" t="s">
        <v>281</v>
      </c>
    </row>
    <row r="14" customFormat="false" ht="57.75" hidden="false" customHeight="true" outlineLevel="0" collapsed="false">
      <c r="A14" s="20" t="n">
        <v>10</v>
      </c>
      <c r="B14" s="5" t="s">
        <v>148</v>
      </c>
      <c r="C14" s="19" t="str">
        <f aca="false">'Gap Assessment'!K16</f>
        <v>High</v>
      </c>
      <c r="D14" s="20" t="n">
        <f aca="false">'Gap Assessment'!J16</f>
        <v>3.75</v>
      </c>
      <c r="E14" s="5" t="s">
        <v>301</v>
      </c>
      <c r="F14" s="5" t="s">
        <v>302</v>
      </c>
      <c r="G14" s="5" t="s">
        <v>214</v>
      </c>
      <c r="H14" s="5" t="s">
        <v>280</v>
      </c>
      <c r="I14" s="5" t="s">
        <v>281</v>
      </c>
    </row>
    <row r="15" customFormat="false" ht="57.75" hidden="false" customHeight="true" outlineLevel="0" collapsed="false">
      <c r="A15" s="17" t="n">
        <v>11</v>
      </c>
      <c r="B15" s="4" t="s">
        <v>149</v>
      </c>
      <c r="C15" s="16" t="str">
        <f aca="false">'Gap Assessment'!K17</f>
        <v>High</v>
      </c>
      <c r="D15" s="17" t="n">
        <f aca="false">'Gap Assessment'!J17</f>
        <v>3.75</v>
      </c>
      <c r="E15" s="4" t="s">
        <v>303</v>
      </c>
      <c r="F15" s="4" t="s">
        <v>304</v>
      </c>
      <c r="G15" s="4" t="s">
        <v>215</v>
      </c>
      <c r="H15" s="4" t="s">
        <v>284</v>
      </c>
      <c r="I15" s="4" t="s">
        <v>281</v>
      </c>
    </row>
    <row r="16" customFormat="false" ht="57.75" hidden="false" customHeight="true" outlineLevel="0" collapsed="false">
      <c r="A16" s="20" t="n">
        <v>12</v>
      </c>
      <c r="B16" s="5" t="s">
        <v>155</v>
      </c>
      <c r="C16" s="19" t="str">
        <f aca="false">'Gap Assessment'!K23</f>
        <v>High</v>
      </c>
      <c r="D16" s="20" t="n">
        <f aca="false">'Gap Assessment'!J23</f>
        <v>3.75</v>
      </c>
      <c r="E16" s="5" t="s">
        <v>305</v>
      </c>
      <c r="F16" s="5" t="s">
        <v>306</v>
      </c>
      <c r="G16" s="5" t="s">
        <v>229</v>
      </c>
      <c r="H16" s="5" t="s">
        <v>280</v>
      </c>
      <c r="I16" s="5" t="s">
        <v>281</v>
      </c>
    </row>
    <row r="17" customFormat="false" ht="57.75" hidden="false" customHeight="true" outlineLevel="0" collapsed="false">
      <c r="A17" s="17" t="n">
        <v>13</v>
      </c>
      <c r="B17" s="4" t="s">
        <v>152</v>
      </c>
      <c r="C17" s="16" t="str">
        <f aca="false">'Gap Assessment'!K20</f>
        <v>High</v>
      </c>
      <c r="D17" s="17" t="n">
        <f aca="false">'Gap Assessment'!J20</f>
        <v>3.5</v>
      </c>
      <c r="E17" s="4" t="s">
        <v>307</v>
      </c>
      <c r="F17" s="4" t="s">
        <v>308</v>
      </c>
      <c r="G17" s="4" t="s">
        <v>222</v>
      </c>
      <c r="H17" s="4" t="s">
        <v>309</v>
      </c>
      <c r="I17" s="4" t="s">
        <v>281</v>
      </c>
    </row>
    <row r="18" customFormat="false" ht="57.75" hidden="false" customHeight="true" outlineLevel="0" collapsed="false">
      <c r="A18" s="20" t="n">
        <v>14</v>
      </c>
      <c r="B18" s="5" t="s">
        <v>136</v>
      </c>
      <c r="C18" s="19" t="str">
        <f aca="false">'Gap Assessment'!K6</f>
        <v>High</v>
      </c>
      <c r="D18" s="20" t="n">
        <f aca="false">'Gap Assessment'!J6</f>
        <v>3.44</v>
      </c>
      <c r="E18" s="5" t="s">
        <v>310</v>
      </c>
      <c r="F18" s="5" t="s">
        <v>311</v>
      </c>
      <c r="G18" s="5" t="s">
        <v>193</v>
      </c>
      <c r="H18" s="5" t="s">
        <v>280</v>
      </c>
      <c r="I18" s="5" t="s">
        <v>281</v>
      </c>
    </row>
    <row r="19" customFormat="false" ht="57.75" hidden="false" customHeight="true" outlineLevel="0" collapsed="false">
      <c r="A19" s="17" t="n">
        <v>15</v>
      </c>
      <c r="B19" s="4" t="s">
        <v>156</v>
      </c>
      <c r="C19" s="16" t="str">
        <f aca="false">'Gap Assessment'!K24</f>
        <v>High</v>
      </c>
      <c r="D19" s="17" t="n">
        <f aca="false">'Gap Assessment'!J24</f>
        <v>3.44</v>
      </c>
      <c r="E19" s="4" t="s">
        <v>312</v>
      </c>
      <c r="F19" s="4" t="s">
        <v>313</v>
      </c>
      <c r="G19" s="4" t="s">
        <v>232</v>
      </c>
      <c r="H19" s="4" t="s">
        <v>314</v>
      </c>
      <c r="I19" s="4" t="s">
        <v>281</v>
      </c>
    </row>
    <row r="20" customFormat="false" ht="57.75" hidden="false" customHeight="true" outlineLevel="0" collapsed="false">
      <c r="A20" s="20" t="n">
        <v>16</v>
      </c>
      <c r="B20" s="5" t="s">
        <v>162</v>
      </c>
      <c r="C20" s="19" t="str">
        <f aca="false">'Gap Assessment'!K29</f>
        <v>High</v>
      </c>
      <c r="D20" s="20" t="n">
        <f aca="false">'Gap Assessment'!J29</f>
        <v>3.44</v>
      </c>
      <c r="E20" s="5" t="s">
        <v>315</v>
      </c>
      <c r="F20" s="5" t="s">
        <v>316</v>
      </c>
      <c r="G20" s="5" t="s">
        <v>244</v>
      </c>
      <c r="H20" s="5" t="s">
        <v>280</v>
      </c>
      <c r="I20" s="5" t="s">
        <v>281</v>
      </c>
    </row>
    <row r="21" customFormat="false" ht="57.75" hidden="false" customHeight="true" outlineLevel="0" collapsed="false">
      <c r="A21" s="17" t="n">
        <v>17</v>
      </c>
      <c r="B21" s="4" t="s">
        <v>141</v>
      </c>
      <c r="C21" s="16" t="str">
        <f aca="false">'Gap Assessment'!K10</f>
        <v>High</v>
      </c>
      <c r="D21" s="17" t="n">
        <f aca="false">'Gap Assessment'!J10</f>
        <v>3.13</v>
      </c>
      <c r="E21" s="4" t="s">
        <v>317</v>
      </c>
      <c r="F21" s="4" t="s">
        <v>318</v>
      </c>
      <c r="G21" s="4" t="s">
        <v>202</v>
      </c>
      <c r="H21" s="4" t="s">
        <v>319</v>
      </c>
      <c r="I21" s="4" t="s">
        <v>281</v>
      </c>
    </row>
    <row r="22" customFormat="false" ht="57.75" hidden="false" customHeight="true" outlineLevel="0" collapsed="false">
      <c r="A22" s="20" t="n">
        <v>18</v>
      </c>
      <c r="B22" s="5" t="s">
        <v>145</v>
      </c>
      <c r="C22" s="19" t="str">
        <f aca="false">'Gap Assessment'!K13</f>
        <v>High</v>
      </c>
      <c r="D22" s="20" t="n">
        <f aca="false">'Gap Assessment'!J13</f>
        <v>3.13</v>
      </c>
      <c r="E22" s="5" t="s">
        <v>320</v>
      </c>
      <c r="F22" s="5" t="s">
        <v>321</v>
      </c>
      <c r="G22" s="5" t="s">
        <v>206</v>
      </c>
      <c r="H22" s="5" t="s">
        <v>280</v>
      </c>
      <c r="I22" s="5" t="s">
        <v>281</v>
      </c>
    </row>
    <row r="23" customFormat="false" ht="57.75" hidden="false" customHeight="true" outlineLevel="0" collapsed="false">
      <c r="A23" s="17" t="n">
        <v>19</v>
      </c>
      <c r="B23" s="4" t="s">
        <v>153</v>
      </c>
      <c r="C23" s="16" t="str">
        <f aca="false">'Gap Assessment'!K21</f>
        <v>High</v>
      </c>
      <c r="D23" s="17" t="n">
        <f aca="false">'Gap Assessment'!J21</f>
        <v>3.13</v>
      </c>
      <c r="E23" s="4" t="s">
        <v>322</v>
      </c>
      <c r="F23" s="4" t="s">
        <v>323</v>
      </c>
      <c r="G23" s="4" t="s">
        <v>224</v>
      </c>
      <c r="H23" s="4" t="s">
        <v>280</v>
      </c>
      <c r="I23" s="4" t="s">
        <v>281</v>
      </c>
    </row>
    <row r="24" customFormat="false" ht="57.75" hidden="false" customHeight="true" outlineLevel="0" collapsed="false">
      <c r="A24" s="20" t="n">
        <v>20</v>
      </c>
      <c r="B24" s="5" t="s">
        <v>160</v>
      </c>
      <c r="C24" s="19" t="str">
        <f aca="false">'Gap Assessment'!K27</f>
        <v>High</v>
      </c>
      <c r="D24" s="20" t="n">
        <f aca="false">'Gap Assessment'!J27</f>
        <v>3.13</v>
      </c>
      <c r="E24" s="5" t="s">
        <v>324</v>
      </c>
      <c r="F24" s="5" t="s">
        <v>325</v>
      </c>
      <c r="G24" s="5" t="s">
        <v>239</v>
      </c>
      <c r="H24" s="5" t="s">
        <v>326</v>
      </c>
      <c r="I24" s="5" t="s">
        <v>281</v>
      </c>
    </row>
    <row r="25" customFormat="false" ht="57.75" hidden="false" customHeight="true" outlineLevel="0" collapsed="false">
      <c r="A25" s="17" t="n">
        <v>21</v>
      </c>
      <c r="B25" s="4" t="s">
        <v>157</v>
      </c>
      <c r="C25" s="16" t="str">
        <f aca="false">'Gap Assessment'!K25</f>
        <v>High</v>
      </c>
      <c r="D25" s="17" t="n">
        <f aca="false">'Gap Assessment'!J25</f>
        <v>3</v>
      </c>
      <c r="E25" s="4" t="s">
        <v>327</v>
      </c>
      <c r="F25" s="4" t="s">
        <v>328</v>
      </c>
      <c r="G25" s="4" t="s">
        <v>234</v>
      </c>
      <c r="H25" s="4" t="s">
        <v>280</v>
      </c>
      <c r="I25" s="4" t="s">
        <v>281</v>
      </c>
    </row>
    <row r="26" customFormat="false" ht="57.75" hidden="false" customHeight="true" outlineLevel="0" collapsed="false">
      <c r="A26" s="20" t="n">
        <v>22</v>
      </c>
      <c r="B26" s="5" t="s">
        <v>146</v>
      </c>
      <c r="C26" s="19" t="str">
        <f aca="false">'Gap Assessment'!K14</f>
        <v>Medium</v>
      </c>
      <c r="D26" s="20" t="n">
        <f aca="false">'Gap Assessment'!J14</f>
        <v>2.81</v>
      </c>
      <c r="E26" s="5" t="s">
        <v>329</v>
      </c>
      <c r="F26" s="5" t="s">
        <v>330</v>
      </c>
      <c r="G26" s="5" t="s">
        <v>209</v>
      </c>
      <c r="H26" s="5" t="s">
        <v>331</v>
      </c>
      <c r="I26" s="5" t="s">
        <v>281</v>
      </c>
    </row>
    <row r="27" customFormat="false" ht="57.75" hidden="false" customHeight="true" outlineLevel="0" collapsed="false">
      <c r="A27" s="17" t="n">
        <v>23</v>
      </c>
      <c r="B27" s="4" t="s">
        <v>147</v>
      </c>
      <c r="C27" s="16" t="str">
        <f aca="false">'Gap Assessment'!K15</f>
        <v>Medium</v>
      </c>
      <c r="D27" s="17" t="n">
        <f aca="false">'Gap Assessment'!J15</f>
        <v>2.75</v>
      </c>
      <c r="E27" s="4" t="s">
        <v>332</v>
      </c>
      <c r="F27" s="4" t="s">
        <v>333</v>
      </c>
      <c r="G27" s="4" t="s">
        <v>212</v>
      </c>
      <c r="H27" s="4" t="s">
        <v>280</v>
      </c>
      <c r="I27" s="4" t="s">
        <v>281</v>
      </c>
    </row>
    <row r="28" customFormat="false" ht="57.75" hidden="false" customHeight="true" outlineLevel="0" collapsed="false">
      <c r="A28" s="20" t="n">
        <v>24</v>
      </c>
      <c r="B28" s="5" t="s">
        <v>151</v>
      </c>
      <c r="C28" s="19" t="str">
        <f aca="false">'Gap Assessment'!K19</f>
        <v>Medium</v>
      </c>
      <c r="D28" s="20" t="n">
        <f aca="false">'Gap Assessment'!J19</f>
        <v>2.5</v>
      </c>
      <c r="E28" s="5" t="s">
        <v>334</v>
      </c>
      <c r="F28" s="5" t="s">
        <v>335</v>
      </c>
      <c r="G28" s="5" t="s">
        <v>220</v>
      </c>
      <c r="H28" s="5" t="s">
        <v>280</v>
      </c>
      <c r="I28" s="5" t="s">
        <v>281</v>
      </c>
    </row>
    <row r="29" customFormat="false" ht="57.75" hidden="false" customHeight="true" outlineLevel="0" collapsed="false">
      <c r="A29" s="17" t="n">
        <v>25</v>
      </c>
      <c r="B29" s="4" t="s">
        <v>171</v>
      </c>
      <c r="C29" s="16" t="str">
        <f aca="false">'Gap Assessment'!K38</f>
        <v>Medium</v>
      </c>
      <c r="D29" s="17" t="n">
        <f aca="false">'Gap Assessment'!J38</f>
        <v>2.5</v>
      </c>
      <c r="E29" s="4" t="s">
        <v>336</v>
      </c>
      <c r="F29" s="4" t="s">
        <v>337</v>
      </c>
      <c r="G29" s="4" t="s">
        <v>265</v>
      </c>
      <c r="H29" s="4" t="s">
        <v>338</v>
      </c>
      <c r="I29" s="4" t="s">
        <v>281</v>
      </c>
    </row>
    <row r="30" customFormat="false" ht="57.75" hidden="false" customHeight="true" outlineLevel="0" collapsed="false">
      <c r="A30" s="20" t="n">
        <v>26</v>
      </c>
      <c r="B30" s="5" t="s">
        <v>164</v>
      </c>
      <c r="C30" s="19" t="str">
        <f aca="false">'Gap Assessment'!K31</f>
        <v>Medium</v>
      </c>
      <c r="D30" s="20" t="n">
        <f aca="false">'Gap Assessment'!J31</f>
        <v>2.19</v>
      </c>
      <c r="E30" s="5" t="s">
        <v>339</v>
      </c>
      <c r="F30" s="5" t="s">
        <v>340</v>
      </c>
      <c r="G30" s="5" t="s">
        <v>249</v>
      </c>
      <c r="H30" s="5" t="s">
        <v>280</v>
      </c>
      <c r="I30" s="5" t="s">
        <v>281</v>
      </c>
    </row>
    <row r="31" customFormat="false" ht="57.75" hidden="false" customHeight="true" outlineLevel="0" collapsed="false">
      <c r="A31" s="17" t="n">
        <v>27</v>
      </c>
      <c r="B31" s="4" t="s">
        <v>158</v>
      </c>
      <c r="C31" s="16" t="str">
        <f aca="false">'Gap Assessment'!K26</f>
        <v>Medium</v>
      </c>
      <c r="D31" s="17" t="n">
        <f aca="false">'Gap Assessment'!J26</f>
        <v>2.06</v>
      </c>
      <c r="E31" s="4" t="s">
        <v>341</v>
      </c>
      <c r="F31" s="4" t="s">
        <v>342</v>
      </c>
      <c r="G31" s="4" t="s">
        <v>236</v>
      </c>
      <c r="H31" s="4" t="s">
        <v>280</v>
      </c>
      <c r="I31" s="4" t="s">
        <v>281</v>
      </c>
    </row>
    <row r="32" customFormat="false" ht="57.75" hidden="false" customHeight="true" outlineLevel="0" collapsed="false">
      <c r="A32" s="20" t="n">
        <v>28</v>
      </c>
      <c r="B32" s="5" t="s">
        <v>143</v>
      </c>
      <c r="C32" s="19" t="str">
        <f aca="false">'Gap Assessment'!K12</f>
        <v>Medium</v>
      </c>
      <c r="D32" s="20" t="n">
        <f aca="false">'Gap Assessment'!J12</f>
        <v>2</v>
      </c>
      <c r="E32" s="5" t="s">
        <v>343</v>
      </c>
      <c r="F32" s="5" t="s">
        <v>344</v>
      </c>
      <c r="G32" s="5" t="s">
        <v>204</v>
      </c>
      <c r="H32" s="5" t="s">
        <v>280</v>
      </c>
      <c r="I32" s="5" t="s">
        <v>281</v>
      </c>
    </row>
    <row r="33" customFormat="false" ht="57.75" hidden="false" customHeight="true" outlineLevel="0" collapsed="false">
      <c r="A33" s="17" t="n">
        <v>29</v>
      </c>
      <c r="B33" s="4" t="s">
        <v>161</v>
      </c>
      <c r="C33" s="16" t="str">
        <f aca="false">'Gap Assessment'!K28</f>
        <v>Medium</v>
      </c>
      <c r="D33" s="17" t="n">
        <f aca="false">'Gap Assessment'!J28</f>
        <v>2</v>
      </c>
      <c r="E33" s="4" t="s">
        <v>345</v>
      </c>
      <c r="F33" s="4" t="s">
        <v>346</v>
      </c>
      <c r="G33" s="4" t="s">
        <v>242</v>
      </c>
      <c r="H33" s="4" t="s">
        <v>347</v>
      </c>
      <c r="I33" s="4" t="s">
        <v>281</v>
      </c>
    </row>
    <row r="34" customFormat="false" ht="57.75" hidden="false" customHeight="true" outlineLevel="0" collapsed="false">
      <c r="A34" s="20" t="n">
        <v>30</v>
      </c>
      <c r="B34" s="5" t="s">
        <v>168</v>
      </c>
      <c r="C34" s="19" t="str">
        <f aca="false">'Gap Assessment'!K35</f>
        <v>Medium</v>
      </c>
      <c r="D34" s="20" t="n">
        <f aca="false">'Gap Assessment'!J35</f>
        <v>2</v>
      </c>
      <c r="E34" s="5" t="s">
        <v>348</v>
      </c>
      <c r="F34" s="5" t="s">
        <v>349</v>
      </c>
      <c r="G34" s="5" t="s">
        <v>259</v>
      </c>
      <c r="H34" s="5" t="s">
        <v>284</v>
      </c>
      <c r="I34" s="5" t="s">
        <v>281</v>
      </c>
    </row>
    <row r="35" customFormat="false" ht="57.75" hidden="false" customHeight="true" outlineLevel="0" collapsed="false">
      <c r="A35" s="17" t="n">
        <v>31</v>
      </c>
      <c r="B35" s="4" t="s">
        <v>170</v>
      </c>
      <c r="C35" s="16" t="str">
        <f aca="false">'Gap Assessment'!K37</f>
        <v>Medium</v>
      </c>
      <c r="D35" s="17" t="n">
        <f aca="false">'Gap Assessment'!J37</f>
        <v>1.5</v>
      </c>
      <c r="E35" s="4" t="s">
        <v>350</v>
      </c>
      <c r="F35" s="4" t="s">
        <v>351</v>
      </c>
      <c r="G35" s="4" t="s">
        <v>263</v>
      </c>
      <c r="H35" s="4" t="s">
        <v>319</v>
      </c>
      <c r="I35" s="4" t="s">
        <v>281</v>
      </c>
    </row>
    <row r="36" customFormat="false" ht="57.75" hidden="false" customHeight="true" outlineLevel="0" collapsed="false">
      <c r="A36" s="20" t="n">
        <v>32</v>
      </c>
      <c r="B36" s="5" t="s">
        <v>163</v>
      </c>
      <c r="C36" s="19" t="str">
        <f aca="false">'Gap Assessment'!K30</f>
        <v>Low</v>
      </c>
      <c r="D36" s="20" t="n">
        <f aca="false">'Gap Assessment'!J30</f>
        <v>1.13</v>
      </c>
      <c r="E36" s="5" t="s">
        <v>352</v>
      </c>
      <c r="F36" s="5" t="s">
        <v>353</v>
      </c>
      <c r="G36" s="5" t="s">
        <v>246</v>
      </c>
      <c r="H36" s="5" t="s">
        <v>289</v>
      </c>
      <c r="I36" s="5" t="s">
        <v>281</v>
      </c>
    </row>
    <row r="37" customFormat="false" ht="57.75" hidden="false" customHeight="true" outlineLevel="0" collapsed="false">
      <c r="A37" s="17" t="n">
        <v>33</v>
      </c>
      <c r="B37" s="4" t="s">
        <v>165</v>
      </c>
      <c r="C37" s="16" t="str">
        <f aca="false">'Gap Assessment'!K32</f>
        <v>Low</v>
      </c>
      <c r="D37" s="17" t="n">
        <f aca="false">'Gap Assessment'!J32</f>
        <v>1.13</v>
      </c>
      <c r="E37" s="4" t="s">
        <v>354</v>
      </c>
      <c r="F37" s="4" t="s">
        <v>355</v>
      </c>
      <c r="G37" s="4" t="s">
        <v>251</v>
      </c>
      <c r="H37" s="4" t="s">
        <v>356</v>
      </c>
      <c r="I37" s="4" t="s">
        <v>281</v>
      </c>
    </row>
    <row r="38" customFormat="false" ht="57.75" hidden="false" customHeight="true" outlineLevel="0" collapsed="false">
      <c r="A38" s="20" t="n">
        <v>34</v>
      </c>
      <c r="B38" s="5" t="s">
        <v>166</v>
      </c>
      <c r="C38" s="19" t="str">
        <f aca="false">'Gap Assessment'!K33</f>
        <v>Low</v>
      </c>
      <c r="D38" s="20" t="n">
        <f aca="false">'Gap Assessment'!J33</f>
        <v>0.94</v>
      </c>
      <c r="E38" s="5" t="s">
        <v>357</v>
      </c>
      <c r="F38" s="5" t="s">
        <v>358</v>
      </c>
      <c r="G38" s="5" t="s">
        <v>253</v>
      </c>
      <c r="H38" s="5" t="s">
        <v>359</v>
      </c>
      <c r="I38" s="5" t="s">
        <v>281</v>
      </c>
    </row>
    <row r="39" customFormat="false" ht="57.75" hidden="false" customHeight="true" outlineLevel="0" collapsed="false">
      <c r="A39" s="17" t="n">
        <v>35</v>
      </c>
      <c r="B39" s="4" t="s">
        <v>172</v>
      </c>
      <c r="C39" s="16" t="str">
        <f aca="false">'Gap Assessment'!K39</f>
        <v>Low</v>
      </c>
      <c r="D39" s="17" t="n">
        <f aca="false">'Gap Assessment'!J39</f>
        <v>0.75</v>
      </c>
      <c r="E39" s="4" t="s">
        <v>360</v>
      </c>
      <c r="F39" s="4" t="s">
        <v>361</v>
      </c>
      <c r="G39" s="4" t="s">
        <v>267</v>
      </c>
      <c r="H39" s="4" t="s">
        <v>319</v>
      </c>
      <c r="I39" s="4" t="s">
        <v>281</v>
      </c>
    </row>
  </sheetData>
  <autoFilter ref="A4:I4"/>
  <conditionalFormatting sqref="C5:C39">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9">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362</v>
      </c>
    </row>
    <row r="2" customFormat="false" ht="15" hidden="false" customHeight="false" outlineLevel="0" collapsed="false">
      <c r="A2" s="2" t="s">
        <v>363</v>
      </c>
    </row>
    <row r="4" customFormat="false" ht="30" hidden="false" customHeight="true" outlineLevel="0" collapsed="false">
      <c r="A4" s="3" t="s">
        <v>131</v>
      </c>
      <c r="B4" s="3" t="s">
        <v>364</v>
      </c>
      <c r="C4" s="3" t="s">
        <v>365</v>
      </c>
      <c r="D4" s="3" t="s">
        <v>195</v>
      </c>
      <c r="E4" s="3" t="s">
        <v>192</v>
      </c>
      <c r="F4" s="3" t="s">
        <v>366</v>
      </c>
      <c r="G4" s="3" t="s">
        <v>367</v>
      </c>
      <c r="H4" s="3" t="s">
        <v>248</v>
      </c>
      <c r="I4" s="3" t="s">
        <v>368</v>
      </c>
      <c r="J4" s="3" t="s">
        <v>369</v>
      </c>
    </row>
    <row r="5" customFormat="false" ht="75.75" hidden="false" customHeight="true" outlineLevel="0" collapsed="false">
      <c r="A5" s="4" t="s">
        <v>370</v>
      </c>
      <c r="B5" s="4" t="s">
        <v>371</v>
      </c>
      <c r="C5" s="4" t="s">
        <v>372</v>
      </c>
      <c r="D5" s="4" t="s">
        <v>373</v>
      </c>
      <c r="E5" s="4" t="s">
        <v>374</v>
      </c>
      <c r="F5" s="4" t="s">
        <v>375</v>
      </c>
      <c r="G5" s="4" t="s">
        <v>376</v>
      </c>
      <c r="H5" s="4" t="s">
        <v>377</v>
      </c>
      <c r="I5" s="4" t="s">
        <v>378</v>
      </c>
      <c r="J5" s="4" t="s">
        <v>379</v>
      </c>
    </row>
    <row r="6" customFormat="false" ht="75.75" hidden="false" customHeight="true" outlineLevel="0" collapsed="false">
      <c r="A6" s="5" t="s">
        <v>380</v>
      </c>
      <c r="B6" s="5" t="s">
        <v>381</v>
      </c>
      <c r="C6" s="5" t="s">
        <v>382</v>
      </c>
      <c r="D6" s="5" t="s">
        <v>383</v>
      </c>
      <c r="E6" s="5" t="s">
        <v>384</v>
      </c>
      <c r="F6" s="5" t="s">
        <v>385</v>
      </c>
      <c r="G6" s="5" t="s">
        <v>386</v>
      </c>
      <c r="H6" s="5" t="s">
        <v>387</v>
      </c>
      <c r="I6" s="5" t="s">
        <v>388</v>
      </c>
      <c r="J6" s="5" t="s">
        <v>389</v>
      </c>
    </row>
    <row r="7" customFormat="false" ht="75.75" hidden="false" customHeight="true" outlineLevel="0" collapsed="false">
      <c r="A7" s="4" t="s">
        <v>390</v>
      </c>
      <c r="B7" s="4" t="s">
        <v>391</v>
      </c>
      <c r="C7" s="4" t="s">
        <v>392</v>
      </c>
      <c r="D7" s="4" t="s">
        <v>393</v>
      </c>
      <c r="E7" s="4" t="s">
        <v>394</v>
      </c>
      <c r="F7" s="4" t="s">
        <v>395</v>
      </c>
      <c r="G7" s="4" t="s">
        <v>395</v>
      </c>
      <c r="H7" s="4" t="s">
        <v>391</v>
      </c>
      <c r="I7" s="4" t="s">
        <v>391</v>
      </c>
      <c r="J7" s="4" t="s">
        <v>396</v>
      </c>
    </row>
    <row r="8" customFormat="false" ht="75.75" hidden="false" customHeight="true" outlineLevel="0" collapsed="false">
      <c r="A8" s="5" t="s">
        <v>397</v>
      </c>
      <c r="B8" s="5" t="s">
        <v>398</v>
      </c>
      <c r="C8" s="5" t="s">
        <v>399</v>
      </c>
      <c r="D8" s="5" t="s">
        <v>400</v>
      </c>
      <c r="E8" s="5" t="s">
        <v>401</v>
      </c>
      <c r="F8" s="5" t="s">
        <v>402</v>
      </c>
      <c r="G8" s="5" t="s">
        <v>403</v>
      </c>
      <c r="H8" s="5" t="s">
        <v>404</v>
      </c>
      <c r="I8" s="5" t="s">
        <v>404</v>
      </c>
      <c r="J8" s="5" t="s">
        <v>405</v>
      </c>
    </row>
    <row r="9" customFormat="false" ht="75.75" hidden="false" customHeight="true" outlineLevel="0" collapsed="false">
      <c r="A9" s="4" t="s">
        <v>406</v>
      </c>
      <c r="B9" s="4" t="s">
        <v>407</v>
      </c>
      <c r="C9" s="4" t="s">
        <v>408</v>
      </c>
      <c r="D9" s="4" t="s">
        <v>409</v>
      </c>
      <c r="E9" s="4" t="s">
        <v>410</v>
      </c>
      <c r="F9" s="4" t="s">
        <v>411</v>
      </c>
      <c r="G9" s="4" t="s">
        <v>412</v>
      </c>
      <c r="H9" s="4" t="s">
        <v>413</v>
      </c>
      <c r="I9" s="4" t="s">
        <v>414</v>
      </c>
      <c r="J9" s="4" t="s">
        <v>415</v>
      </c>
    </row>
    <row r="10" customFormat="false" ht="75.75" hidden="false" customHeight="true" outlineLevel="0" collapsed="false">
      <c r="A10" s="5" t="s">
        <v>416</v>
      </c>
      <c r="B10" s="5" t="s">
        <v>417</v>
      </c>
      <c r="C10" s="5" t="s">
        <v>418</v>
      </c>
      <c r="D10" s="5" t="s">
        <v>419</v>
      </c>
      <c r="E10" s="5" t="s">
        <v>420</v>
      </c>
      <c r="F10" s="5" t="s">
        <v>421</v>
      </c>
      <c r="G10" s="5" t="s">
        <v>412</v>
      </c>
      <c r="H10" s="5" t="s">
        <v>391</v>
      </c>
      <c r="I10" s="5" t="s">
        <v>422</v>
      </c>
      <c r="J10" s="5" t="s">
        <v>423</v>
      </c>
    </row>
    <row r="11" customFormat="false" ht="75.75" hidden="false" customHeight="true" outlineLevel="0" collapsed="false">
      <c r="A11" s="4" t="s">
        <v>138</v>
      </c>
      <c r="B11" s="4" t="s">
        <v>424</v>
      </c>
      <c r="C11" s="4" t="s">
        <v>425</v>
      </c>
      <c r="D11" s="4" t="s">
        <v>426</v>
      </c>
      <c r="E11" s="4" t="s">
        <v>427</v>
      </c>
      <c r="F11" s="4" t="s">
        <v>428</v>
      </c>
      <c r="G11" s="4" t="s">
        <v>429</v>
      </c>
      <c r="H11" s="4" t="s">
        <v>391</v>
      </c>
      <c r="I11" s="4" t="s">
        <v>430</v>
      </c>
      <c r="J11" s="4" t="s">
        <v>431</v>
      </c>
    </row>
    <row r="12" customFormat="false" ht="75.75" hidden="false" customHeight="true" outlineLevel="0" collapsed="false">
      <c r="A12" s="5" t="s">
        <v>432</v>
      </c>
      <c r="B12" s="5" t="s">
        <v>433</v>
      </c>
      <c r="C12" s="5" t="s">
        <v>434</v>
      </c>
      <c r="D12" s="5" t="s">
        <v>435</v>
      </c>
      <c r="E12" s="5" t="s">
        <v>436</v>
      </c>
      <c r="F12" s="5" t="s">
        <v>437</v>
      </c>
      <c r="G12" s="5" t="s">
        <v>438</v>
      </c>
      <c r="H12" s="5" t="s">
        <v>391</v>
      </c>
      <c r="I12" s="5" t="s">
        <v>439</v>
      </c>
      <c r="J12" s="5" t="s">
        <v>440</v>
      </c>
    </row>
    <row r="13" customFormat="false" ht="75.75" hidden="false" customHeight="true" outlineLevel="0" collapsed="false">
      <c r="A13" s="4" t="s">
        <v>441</v>
      </c>
      <c r="B13" s="4" t="s">
        <v>442</v>
      </c>
      <c r="C13" s="4" t="s">
        <v>443</v>
      </c>
      <c r="D13" s="4" t="s">
        <v>444</v>
      </c>
      <c r="E13" s="4" t="s">
        <v>445</v>
      </c>
      <c r="F13" s="4" t="s">
        <v>446</v>
      </c>
      <c r="G13" s="4" t="s">
        <v>447</v>
      </c>
      <c r="H13" s="4" t="s">
        <v>448</v>
      </c>
      <c r="I13" s="4" t="s">
        <v>449</v>
      </c>
      <c r="J13" s="4" t="s">
        <v>450</v>
      </c>
    </row>
    <row r="14" customFormat="false" ht="75.75" hidden="false" customHeight="true" outlineLevel="0" collapsed="false">
      <c r="A14" s="5" t="s">
        <v>145</v>
      </c>
      <c r="B14" s="5" t="s">
        <v>451</v>
      </c>
      <c r="C14" s="5" t="s">
        <v>452</v>
      </c>
      <c r="D14" s="5" t="s">
        <v>453</v>
      </c>
      <c r="E14" s="5" t="s">
        <v>454</v>
      </c>
      <c r="F14" s="5" t="s">
        <v>455</v>
      </c>
      <c r="G14" s="5" t="s">
        <v>456</v>
      </c>
      <c r="H14" s="5" t="s">
        <v>457</v>
      </c>
      <c r="I14" s="5" t="s">
        <v>458</v>
      </c>
      <c r="J14" s="5" t="s">
        <v>459</v>
      </c>
    </row>
    <row r="15" customFormat="false" ht="75.75" hidden="false" customHeight="true" outlineLevel="0" collapsed="false">
      <c r="A15" s="4" t="s">
        <v>460</v>
      </c>
      <c r="B15" s="4" t="s">
        <v>461</v>
      </c>
      <c r="C15" s="4" t="s">
        <v>462</v>
      </c>
      <c r="D15" s="4" t="s">
        <v>463</v>
      </c>
      <c r="E15" s="4" t="s">
        <v>464</v>
      </c>
      <c r="F15" s="4" t="s">
        <v>465</v>
      </c>
      <c r="G15" s="4" t="s">
        <v>466</v>
      </c>
      <c r="H15" s="4" t="s">
        <v>467</v>
      </c>
      <c r="I15" s="4" t="s">
        <v>468</v>
      </c>
      <c r="J15" s="4" t="s">
        <v>469</v>
      </c>
    </row>
    <row r="16" customFormat="false" ht="75.75" hidden="false" customHeight="true" outlineLevel="0" collapsed="false">
      <c r="A16" s="5" t="s">
        <v>470</v>
      </c>
      <c r="B16" s="5" t="s">
        <v>471</v>
      </c>
      <c r="C16" s="5" t="s">
        <v>472</v>
      </c>
      <c r="D16" s="5" t="s">
        <v>473</v>
      </c>
      <c r="E16" s="5" t="s">
        <v>474</v>
      </c>
      <c r="F16" s="5" t="s">
        <v>475</v>
      </c>
      <c r="G16" s="5" t="s">
        <v>476</v>
      </c>
      <c r="H16" s="5" t="s">
        <v>391</v>
      </c>
      <c r="I16" s="5" t="s">
        <v>477</v>
      </c>
      <c r="J16" s="5" t="s">
        <v>478</v>
      </c>
    </row>
    <row r="17" customFormat="false" ht="75.75" hidden="false" customHeight="true" outlineLevel="0" collapsed="false">
      <c r="A17" s="4" t="s">
        <v>479</v>
      </c>
      <c r="B17" s="4" t="s">
        <v>480</v>
      </c>
      <c r="C17" s="4" t="s">
        <v>481</v>
      </c>
      <c r="D17" s="4" t="s">
        <v>482</v>
      </c>
      <c r="E17" s="4" t="s">
        <v>483</v>
      </c>
      <c r="F17" s="4" t="s">
        <v>484</v>
      </c>
      <c r="G17" s="4" t="s">
        <v>485</v>
      </c>
      <c r="H17" s="4" t="s">
        <v>391</v>
      </c>
      <c r="I17" s="4" t="s">
        <v>486</v>
      </c>
      <c r="J17" s="4" t="s">
        <v>487</v>
      </c>
    </row>
    <row r="18" customFormat="false" ht="75.75" hidden="false" customHeight="true" outlineLevel="0" collapsed="false">
      <c r="A18" s="5" t="s">
        <v>149</v>
      </c>
      <c r="B18" s="5" t="s">
        <v>488</v>
      </c>
      <c r="C18" s="5" t="s">
        <v>489</v>
      </c>
      <c r="D18" s="5" t="s">
        <v>490</v>
      </c>
      <c r="E18" s="5" t="s">
        <v>491</v>
      </c>
      <c r="F18" s="5" t="s">
        <v>492</v>
      </c>
      <c r="G18" s="5" t="s">
        <v>493</v>
      </c>
      <c r="H18" s="5" t="s">
        <v>391</v>
      </c>
      <c r="I18" s="5" t="s">
        <v>494</v>
      </c>
      <c r="J18" s="5" t="s">
        <v>495</v>
      </c>
    </row>
    <row r="19" customFormat="false" ht="75.75" hidden="false" customHeight="true" outlineLevel="0" collapsed="false">
      <c r="A19" s="4" t="s">
        <v>496</v>
      </c>
      <c r="B19" s="4" t="s">
        <v>497</v>
      </c>
      <c r="C19" s="4" t="s">
        <v>498</v>
      </c>
      <c r="D19" s="4" t="s">
        <v>499</v>
      </c>
      <c r="E19" s="4" t="s">
        <v>500</v>
      </c>
      <c r="F19" s="4" t="s">
        <v>501</v>
      </c>
      <c r="G19" s="4" t="s">
        <v>502</v>
      </c>
      <c r="H19" s="4" t="s">
        <v>391</v>
      </c>
      <c r="I19" s="4" t="s">
        <v>391</v>
      </c>
      <c r="J19" s="4" t="s">
        <v>503</v>
      </c>
    </row>
    <row r="20" customFormat="false" ht="75.75" hidden="false" customHeight="true" outlineLevel="0" collapsed="false">
      <c r="A20" s="5" t="s">
        <v>150</v>
      </c>
      <c r="B20" s="5" t="s">
        <v>504</v>
      </c>
      <c r="C20" s="5" t="s">
        <v>505</v>
      </c>
      <c r="D20" s="5" t="s">
        <v>506</v>
      </c>
      <c r="E20" s="5" t="s">
        <v>507</v>
      </c>
      <c r="F20" s="5" t="s">
        <v>508</v>
      </c>
      <c r="G20" s="5" t="s">
        <v>509</v>
      </c>
      <c r="H20" s="5" t="s">
        <v>391</v>
      </c>
      <c r="I20" s="5" t="s">
        <v>391</v>
      </c>
      <c r="J20" s="5" t="s">
        <v>510</v>
      </c>
    </row>
    <row r="21" customFormat="false" ht="75.75" hidden="false" customHeight="true" outlineLevel="0" collapsed="false">
      <c r="A21" s="4" t="s">
        <v>154</v>
      </c>
      <c r="B21" s="4" t="s">
        <v>511</v>
      </c>
      <c r="C21" s="4" t="s">
        <v>512</v>
      </c>
      <c r="D21" s="4" t="s">
        <v>513</v>
      </c>
      <c r="E21" s="4" t="s">
        <v>514</v>
      </c>
      <c r="F21" s="4" t="s">
        <v>515</v>
      </c>
      <c r="G21" s="4" t="s">
        <v>516</v>
      </c>
      <c r="H21" s="4" t="s">
        <v>391</v>
      </c>
      <c r="I21" s="4" t="s">
        <v>517</v>
      </c>
      <c r="J21" s="4" t="s">
        <v>518</v>
      </c>
    </row>
    <row r="22" customFormat="false" ht="75.75" hidden="false" customHeight="true" outlineLevel="0" collapsed="false">
      <c r="A22" s="5" t="s">
        <v>519</v>
      </c>
      <c r="B22" s="5" t="s">
        <v>520</v>
      </c>
      <c r="C22" s="5" t="s">
        <v>521</v>
      </c>
      <c r="D22" s="5" t="s">
        <v>522</v>
      </c>
      <c r="E22" s="5" t="s">
        <v>523</v>
      </c>
      <c r="F22" s="5" t="s">
        <v>524</v>
      </c>
      <c r="G22" s="5" t="s">
        <v>525</v>
      </c>
      <c r="H22" s="5" t="s">
        <v>391</v>
      </c>
      <c r="I22" s="5" t="s">
        <v>391</v>
      </c>
      <c r="J22" s="5" t="s">
        <v>526</v>
      </c>
    </row>
    <row r="23" customFormat="false" ht="75.75" hidden="false" customHeight="true" outlineLevel="0" collapsed="false">
      <c r="A23" s="4" t="s">
        <v>527</v>
      </c>
      <c r="B23" s="4" t="s">
        <v>528</v>
      </c>
      <c r="C23" s="4" t="s">
        <v>529</v>
      </c>
      <c r="D23" s="4" t="s">
        <v>530</v>
      </c>
      <c r="E23" s="4" t="s">
        <v>531</v>
      </c>
      <c r="F23" s="4" t="s">
        <v>532</v>
      </c>
      <c r="G23" s="4" t="s">
        <v>533</v>
      </c>
      <c r="H23" s="4" t="s">
        <v>391</v>
      </c>
      <c r="I23" s="4" t="s">
        <v>534</v>
      </c>
      <c r="J23" s="4" t="s">
        <v>535</v>
      </c>
    </row>
    <row r="24" customFormat="false" ht="75.75" hidden="false" customHeight="true" outlineLevel="0" collapsed="false">
      <c r="A24" s="5" t="s">
        <v>536</v>
      </c>
      <c r="B24" s="5" t="s">
        <v>537</v>
      </c>
      <c r="C24" s="5" t="s">
        <v>538</v>
      </c>
      <c r="D24" s="5" t="s">
        <v>539</v>
      </c>
      <c r="E24" s="5" t="s">
        <v>540</v>
      </c>
      <c r="F24" s="5" t="s">
        <v>541</v>
      </c>
      <c r="G24" s="5" t="s">
        <v>542</v>
      </c>
      <c r="H24" s="5" t="s">
        <v>391</v>
      </c>
      <c r="I24" s="5" t="s">
        <v>543</v>
      </c>
      <c r="J24" s="5" t="s">
        <v>544</v>
      </c>
    </row>
    <row r="25" customFormat="false" ht="75.75" hidden="false" customHeight="true" outlineLevel="0" collapsed="false">
      <c r="A25" s="4" t="s">
        <v>545</v>
      </c>
      <c r="B25" s="4" t="s">
        <v>391</v>
      </c>
      <c r="C25" s="4" t="s">
        <v>395</v>
      </c>
      <c r="D25" s="4" t="s">
        <v>395</v>
      </c>
      <c r="E25" s="4" t="s">
        <v>546</v>
      </c>
      <c r="F25" s="4" t="s">
        <v>395</v>
      </c>
      <c r="G25" s="4" t="s">
        <v>391</v>
      </c>
      <c r="H25" s="4" t="s">
        <v>391</v>
      </c>
      <c r="I25" s="4" t="s">
        <v>391</v>
      </c>
      <c r="J25" s="4" t="s">
        <v>547</v>
      </c>
    </row>
    <row r="26" customFormat="false" ht="75.75" hidden="false" customHeight="true" outlineLevel="0" collapsed="false">
      <c r="A26" s="5" t="s">
        <v>160</v>
      </c>
      <c r="B26" s="5" t="s">
        <v>548</v>
      </c>
      <c r="C26" s="5" t="s">
        <v>549</v>
      </c>
      <c r="D26" s="5" t="s">
        <v>550</v>
      </c>
      <c r="E26" s="5" t="s">
        <v>551</v>
      </c>
      <c r="F26" s="5" t="s">
        <v>552</v>
      </c>
      <c r="G26" s="5" t="s">
        <v>553</v>
      </c>
      <c r="H26" s="5" t="s">
        <v>554</v>
      </c>
      <c r="I26" s="5" t="s">
        <v>555</v>
      </c>
      <c r="J26" s="5" t="s">
        <v>556</v>
      </c>
    </row>
    <row r="27" customFormat="false" ht="75.75" hidden="false" customHeight="true" outlineLevel="0" collapsed="false">
      <c r="A27" s="4" t="s">
        <v>161</v>
      </c>
      <c r="B27" s="4" t="s">
        <v>557</v>
      </c>
      <c r="C27" s="4" t="s">
        <v>558</v>
      </c>
      <c r="D27" s="4" t="s">
        <v>559</v>
      </c>
      <c r="E27" s="4" t="s">
        <v>560</v>
      </c>
      <c r="F27" s="4" t="s">
        <v>558</v>
      </c>
      <c r="G27" s="4" t="s">
        <v>561</v>
      </c>
      <c r="H27" s="4" t="s">
        <v>562</v>
      </c>
      <c r="I27" s="4" t="s">
        <v>563</v>
      </c>
      <c r="J27" s="4" t="s">
        <v>564</v>
      </c>
    </row>
    <row r="28" customFormat="false" ht="75.75" hidden="false" customHeight="true" outlineLevel="0" collapsed="false">
      <c r="A28" s="5" t="s">
        <v>162</v>
      </c>
      <c r="B28" s="5" t="s">
        <v>565</v>
      </c>
      <c r="C28" s="5" t="s">
        <v>566</v>
      </c>
      <c r="D28" s="5" t="s">
        <v>567</v>
      </c>
      <c r="E28" s="5" t="s">
        <v>384</v>
      </c>
      <c r="F28" s="5" t="s">
        <v>568</v>
      </c>
      <c r="G28" s="5" t="s">
        <v>569</v>
      </c>
      <c r="H28" s="5" t="s">
        <v>570</v>
      </c>
      <c r="I28" s="5" t="s">
        <v>571</v>
      </c>
      <c r="J28" s="5" t="s">
        <v>572</v>
      </c>
    </row>
    <row r="29" customFormat="false" ht="75.75" hidden="false" customHeight="true" outlineLevel="0" collapsed="false">
      <c r="A29" s="4" t="s">
        <v>165</v>
      </c>
      <c r="B29" s="4" t="s">
        <v>573</v>
      </c>
      <c r="C29" s="4" t="s">
        <v>574</v>
      </c>
      <c r="D29" s="4" t="s">
        <v>575</v>
      </c>
      <c r="E29" s="4" t="s">
        <v>576</v>
      </c>
      <c r="F29" s="4" t="s">
        <v>577</v>
      </c>
      <c r="G29" s="4" t="s">
        <v>578</v>
      </c>
      <c r="H29" s="4" t="s">
        <v>579</v>
      </c>
      <c r="I29" s="4" t="s">
        <v>391</v>
      </c>
      <c r="J29" s="4" t="s">
        <v>580</v>
      </c>
    </row>
    <row r="30" customFormat="false" ht="75.75" hidden="false" customHeight="true" outlineLevel="0" collapsed="false">
      <c r="A30" s="5" t="s">
        <v>581</v>
      </c>
      <c r="B30" s="5" t="s">
        <v>582</v>
      </c>
      <c r="C30" s="5" t="s">
        <v>583</v>
      </c>
      <c r="D30" s="5" t="s">
        <v>584</v>
      </c>
      <c r="E30" s="5" t="s">
        <v>585</v>
      </c>
      <c r="F30" s="5" t="s">
        <v>586</v>
      </c>
      <c r="G30" s="5" t="s">
        <v>391</v>
      </c>
      <c r="H30" s="5" t="s">
        <v>587</v>
      </c>
      <c r="I30" s="5" t="s">
        <v>391</v>
      </c>
      <c r="J30" s="5" t="s">
        <v>588</v>
      </c>
    </row>
    <row r="31" customFormat="false" ht="75.75" hidden="false" customHeight="true" outlineLevel="0" collapsed="false">
      <c r="A31" s="4" t="s">
        <v>589</v>
      </c>
      <c r="B31" s="4" t="s">
        <v>590</v>
      </c>
      <c r="C31" s="4" t="s">
        <v>591</v>
      </c>
      <c r="D31" s="4" t="s">
        <v>592</v>
      </c>
      <c r="E31" s="4" t="s">
        <v>593</v>
      </c>
      <c r="F31" s="4" t="s">
        <v>594</v>
      </c>
      <c r="G31" s="4" t="s">
        <v>509</v>
      </c>
      <c r="H31" s="4" t="s">
        <v>595</v>
      </c>
      <c r="I31" s="4" t="s">
        <v>596</v>
      </c>
      <c r="J31" s="4" t="s">
        <v>597</v>
      </c>
    </row>
    <row r="32" customFormat="false" ht="75.75" hidden="false" customHeight="true" outlineLevel="0" collapsed="false">
      <c r="A32" s="5" t="s">
        <v>598</v>
      </c>
      <c r="B32" s="5" t="s">
        <v>599</v>
      </c>
      <c r="C32" s="5" t="s">
        <v>600</v>
      </c>
      <c r="D32" s="5" t="s">
        <v>601</v>
      </c>
      <c r="E32" s="5" t="s">
        <v>602</v>
      </c>
      <c r="F32" s="5" t="s">
        <v>603</v>
      </c>
      <c r="G32" s="5" t="s">
        <v>604</v>
      </c>
      <c r="H32" s="5" t="s">
        <v>391</v>
      </c>
      <c r="I32" s="5" t="s">
        <v>391</v>
      </c>
      <c r="J32" s="5" t="s">
        <v>605</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606</v>
      </c>
    </row>
    <row r="2" customFormat="false" ht="15" hidden="false" customHeight="false" outlineLevel="0" collapsed="false">
      <c r="A2" s="2" t="s">
        <v>607</v>
      </c>
    </row>
    <row r="4" customFormat="false" ht="30" hidden="false" customHeight="true" outlineLevel="0" collapsed="false">
      <c r="A4" s="3" t="s">
        <v>608</v>
      </c>
      <c r="B4" s="3" t="s">
        <v>609</v>
      </c>
      <c r="C4" s="3" t="s">
        <v>610</v>
      </c>
      <c r="D4" s="3" t="s">
        <v>611</v>
      </c>
      <c r="E4" s="3" t="s">
        <v>612</v>
      </c>
      <c r="F4" s="3" t="s">
        <v>613</v>
      </c>
      <c r="G4" s="3" t="s">
        <v>614</v>
      </c>
      <c r="H4" s="3" t="s">
        <v>615</v>
      </c>
    </row>
    <row r="5" customFormat="false" ht="43.5" hidden="false" customHeight="true" outlineLevel="0" collapsed="false">
      <c r="A5" s="4" t="s">
        <v>616</v>
      </c>
      <c r="B5" s="4" t="s">
        <v>617</v>
      </c>
      <c r="C5" s="4" t="s">
        <v>618</v>
      </c>
      <c r="D5" s="4" t="s">
        <v>619</v>
      </c>
      <c r="E5" s="4" t="s">
        <v>619</v>
      </c>
      <c r="F5" s="4" t="s">
        <v>620</v>
      </c>
      <c r="G5" s="4" t="s">
        <v>621</v>
      </c>
      <c r="H5" s="4" t="s">
        <v>622</v>
      </c>
    </row>
    <row r="6" customFormat="false" ht="43.5" hidden="false" customHeight="true" outlineLevel="0" collapsed="false">
      <c r="A6" s="5" t="s">
        <v>623</v>
      </c>
      <c r="B6" s="5" t="s">
        <v>624</v>
      </c>
      <c r="C6" s="5" t="s">
        <v>625</v>
      </c>
      <c r="D6" s="5" t="s">
        <v>626</v>
      </c>
      <c r="E6" s="5" t="s">
        <v>627</v>
      </c>
      <c r="F6" s="5" t="s">
        <v>628</v>
      </c>
      <c r="G6" s="5" t="s">
        <v>629</v>
      </c>
      <c r="H6" s="5" t="s">
        <v>622</v>
      </c>
    </row>
    <row r="7" customFormat="false" ht="43.5" hidden="false" customHeight="true" outlineLevel="0" collapsed="false">
      <c r="A7" s="4" t="s">
        <v>630</v>
      </c>
      <c r="B7" s="4" t="s">
        <v>617</v>
      </c>
      <c r="C7" s="4" t="s">
        <v>631</v>
      </c>
      <c r="D7" s="4" t="s">
        <v>632</v>
      </c>
      <c r="E7" s="4" t="s">
        <v>633</v>
      </c>
      <c r="F7" s="4" t="s">
        <v>634</v>
      </c>
      <c r="G7" s="4" t="s">
        <v>635</v>
      </c>
      <c r="H7" s="4" t="s">
        <v>622</v>
      </c>
    </row>
    <row r="8" customFormat="false" ht="43.5" hidden="false" customHeight="true" outlineLevel="0" collapsed="false">
      <c r="A8" s="5" t="s">
        <v>636</v>
      </c>
      <c r="B8" s="5" t="s">
        <v>637</v>
      </c>
      <c r="C8" s="5" t="s">
        <v>638</v>
      </c>
      <c r="D8" s="5" t="s">
        <v>639</v>
      </c>
      <c r="E8" s="5" t="s">
        <v>640</v>
      </c>
      <c r="F8" s="5" t="s">
        <v>641</v>
      </c>
      <c r="G8" s="5" t="s">
        <v>642</v>
      </c>
      <c r="H8" s="5" t="s">
        <v>622</v>
      </c>
    </row>
    <row r="9" customFormat="false" ht="43.5" hidden="false" customHeight="true" outlineLevel="0" collapsed="false">
      <c r="A9" s="4" t="s">
        <v>643</v>
      </c>
      <c r="B9" s="4" t="s">
        <v>637</v>
      </c>
      <c r="C9" s="4" t="s">
        <v>644</v>
      </c>
      <c r="D9" s="4" t="s">
        <v>645</v>
      </c>
      <c r="E9" s="4" t="s">
        <v>646</v>
      </c>
      <c r="F9" s="4" t="s">
        <v>647</v>
      </c>
      <c r="G9" s="4" t="s">
        <v>648</v>
      </c>
      <c r="H9" s="4" t="s">
        <v>649</v>
      </c>
    </row>
    <row r="10" customFormat="false" ht="43.5" hidden="false" customHeight="true" outlineLevel="0" collapsed="false">
      <c r="A10" s="5" t="s">
        <v>650</v>
      </c>
      <c r="B10" s="5" t="s">
        <v>195</v>
      </c>
      <c r="C10" s="5" t="s">
        <v>651</v>
      </c>
      <c r="D10" s="5" t="s">
        <v>652</v>
      </c>
      <c r="E10" s="5" t="s">
        <v>653</v>
      </c>
      <c r="F10" s="5" t="s">
        <v>654</v>
      </c>
      <c r="G10" s="5" t="s">
        <v>655</v>
      </c>
      <c r="H10" s="5" t="s">
        <v>622</v>
      </c>
    </row>
    <row r="11" customFormat="false" ht="43.5" hidden="false" customHeight="true" outlineLevel="0" collapsed="false">
      <c r="A11" s="4" t="s">
        <v>656</v>
      </c>
      <c r="B11" s="4" t="s">
        <v>195</v>
      </c>
      <c r="C11" s="4" t="s">
        <v>657</v>
      </c>
      <c r="D11" s="4" t="s">
        <v>658</v>
      </c>
      <c r="E11" s="4" t="s">
        <v>653</v>
      </c>
      <c r="F11" s="4" t="s">
        <v>659</v>
      </c>
      <c r="G11" s="4" t="s">
        <v>660</v>
      </c>
      <c r="H11" s="4" t="s">
        <v>622</v>
      </c>
    </row>
    <row r="12" customFormat="false" ht="43.5" hidden="false" customHeight="true" outlineLevel="0" collapsed="false">
      <c r="A12" s="5" t="s">
        <v>661</v>
      </c>
      <c r="B12" s="5" t="s">
        <v>195</v>
      </c>
      <c r="C12" s="5" t="s">
        <v>662</v>
      </c>
      <c r="D12" s="5" t="s">
        <v>663</v>
      </c>
      <c r="E12" s="5" t="s">
        <v>664</v>
      </c>
      <c r="F12" s="5" t="s">
        <v>665</v>
      </c>
      <c r="G12" s="5" t="s">
        <v>666</v>
      </c>
      <c r="H12" s="5" t="s">
        <v>622</v>
      </c>
    </row>
    <row r="13" customFormat="false" ht="43.5" hidden="false" customHeight="true" outlineLevel="0" collapsed="false">
      <c r="A13" s="4" t="s">
        <v>667</v>
      </c>
      <c r="B13" s="4" t="s">
        <v>192</v>
      </c>
      <c r="C13" s="4" t="s">
        <v>668</v>
      </c>
      <c r="D13" s="4" t="s">
        <v>669</v>
      </c>
      <c r="E13" s="4" t="s">
        <v>670</v>
      </c>
      <c r="F13" s="4" t="s">
        <v>671</v>
      </c>
      <c r="G13" s="4" t="s">
        <v>672</v>
      </c>
      <c r="H13" s="4" t="s">
        <v>622</v>
      </c>
    </row>
    <row r="14" customFormat="false" ht="43.5" hidden="false" customHeight="true" outlineLevel="0" collapsed="false">
      <c r="A14" s="5" t="s">
        <v>673</v>
      </c>
      <c r="B14" s="5" t="s">
        <v>192</v>
      </c>
      <c r="C14" s="5" t="s">
        <v>674</v>
      </c>
      <c r="D14" s="5" t="s">
        <v>675</v>
      </c>
      <c r="E14" s="5" t="s">
        <v>640</v>
      </c>
      <c r="F14" s="5" t="s">
        <v>676</v>
      </c>
      <c r="G14" s="5" t="s">
        <v>677</v>
      </c>
      <c r="H14" s="5" t="s">
        <v>622</v>
      </c>
    </row>
    <row r="15" customFormat="false" ht="43.5" hidden="false" customHeight="true" outlineLevel="0" collapsed="false">
      <c r="A15" s="4" t="s">
        <v>678</v>
      </c>
      <c r="B15" s="4" t="s">
        <v>192</v>
      </c>
      <c r="C15" s="4" t="s">
        <v>679</v>
      </c>
      <c r="D15" s="4" t="s">
        <v>680</v>
      </c>
      <c r="E15" s="4" t="s">
        <v>681</v>
      </c>
      <c r="F15" s="4" t="s">
        <v>682</v>
      </c>
      <c r="G15" s="4" t="s">
        <v>683</v>
      </c>
      <c r="H15" s="4" t="s">
        <v>622</v>
      </c>
    </row>
    <row r="16" customFormat="false" ht="43.5" hidden="false" customHeight="true" outlineLevel="0" collapsed="false">
      <c r="A16" s="5" t="s">
        <v>684</v>
      </c>
      <c r="B16" s="5" t="s">
        <v>219</v>
      </c>
      <c r="C16" s="5" t="s">
        <v>685</v>
      </c>
      <c r="D16" s="5" t="s">
        <v>686</v>
      </c>
      <c r="E16" s="5" t="s">
        <v>687</v>
      </c>
      <c r="F16" s="5" t="s">
        <v>688</v>
      </c>
      <c r="G16" s="5" t="s">
        <v>689</v>
      </c>
      <c r="H16" s="5" t="s">
        <v>622</v>
      </c>
    </row>
    <row r="17" customFormat="false" ht="43.5" hidden="false" customHeight="true" outlineLevel="0" collapsed="false">
      <c r="A17" s="4" t="s">
        <v>690</v>
      </c>
      <c r="B17" s="4" t="s">
        <v>691</v>
      </c>
      <c r="C17" s="4" t="s">
        <v>692</v>
      </c>
      <c r="D17" s="4" t="s">
        <v>693</v>
      </c>
      <c r="E17" s="4" t="s">
        <v>633</v>
      </c>
      <c r="F17" s="4" t="s">
        <v>694</v>
      </c>
      <c r="G17" s="4" t="s">
        <v>695</v>
      </c>
      <c r="H17" s="4" t="s">
        <v>622</v>
      </c>
    </row>
    <row r="18" customFormat="false" ht="43.5" hidden="false" customHeight="true" outlineLevel="0" collapsed="false">
      <c r="A18" s="5" t="s">
        <v>696</v>
      </c>
      <c r="B18" s="5" t="s">
        <v>219</v>
      </c>
      <c r="C18" s="5" t="s">
        <v>697</v>
      </c>
      <c r="D18" s="5" t="s">
        <v>698</v>
      </c>
      <c r="E18" s="5" t="s">
        <v>640</v>
      </c>
      <c r="F18" s="5" t="s">
        <v>699</v>
      </c>
      <c r="G18" s="5" t="s">
        <v>700</v>
      </c>
      <c r="H18" s="5" t="s">
        <v>622</v>
      </c>
    </row>
    <row r="19" customFormat="false" ht="43.5" hidden="false" customHeight="true" outlineLevel="0" collapsed="false">
      <c r="A19" s="4" t="s">
        <v>701</v>
      </c>
      <c r="B19" s="4" t="s">
        <v>367</v>
      </c>
      <c r="C19" s="4" t="s">
        <v>702</v>
      </c>
      <c r="D19" s="4" t="s">
        <v>703</v>
      </c>
      <c r="E19" s="4" t="s">
        <v>704</v>
      </c>
      <c r="F19" s="4" t="s">
        <v>705</v>
      </c>
      <c r="G19" s="4" t="s">
        <v>706</v>
      </c>
      <c r="H19" s="4" t="s">
        <v>622</v>
      </c>
    </row>
    <row r="20" customFormat="false" ht="43.5" hidden="false" customHeight="true" outlineLevel="0" collapsed="false">
      <c r="A20" s="5" t="s">
        <v>707</v>
      </c>
      <c r="B20" s="5" t="s">
        <v>367</v>
      </c>
      <c r="C20" s="5" t="s">
        <v>708</v>
      </c>
      <c r="D20" s="5" t="s">
        <v>709</v>
      </c>
      <c r="E20" s="5" t="s">
        <v>704</v>
      </c>
      <c r="F20" s="5" t="s">
        <v>710</v>
      </c>
      <c r="G20" s="5" t="s">
        <v>711</v>
      </c>
      <c r="H20" s="5" t="s">
        <v>622</v>
      </c>
    </row>
    <row r="21" customFormat="false" ht="43.5" hidden="false" customHeight="true" outlineLevel="0" collapsed="false">
      <c r="A21" s="4" t="s">
        <v>712</v>
      </c>
      <c r="B21" s="4" t="s">
        <v>367</v>
      </c>
      <c r="C21" s="4" t="s">
        <v>713</v>
      </c>
      <c r="D21" s="4" t="s">
        <v>714</v>
      </c>
      <c r="E21" s="4" t="s">
        <v>633</v>
      </c>
      <c r="F21" s="4" t="s">
        <v>715</v>
      </c>
      <c r="G21" s="4" t="s">
        <v>716</v>
      </c>
      <c r="H21" s="4" t="s">
        <v>622</v>
      </c>
    </row>
    <row r="22" customFormat="false" ht="43.5" hidden="false" customHeight="true" outlineLevel="0" collapsed="false">
      <c r="A22" s="5" t="s">
        <v>717</v>
      </c>
      <c r="B22" s="5" t="s">
        <v>248</v>
      </c>
      <c r="C22" s="5" t="s">
        <v>718</v>
      </c>
      <c r="D22" s="5" t="s">
        <v>719</v>
      </c>
      <c r="E22" s="5" t="s">
        <v>720</v>
      </c>
      <c r="F22" s="5" t="s">
        <v>721</v>
      </c>
      <c r="G22" s="5" t="s">
        <v>722</v>
      </c>
      <c r="H22" s="5" t="s">
        <v>622</v>
      </c>
    </row>
    <row r="23" customFormat="false" ht="43.5" hidden="false" customHeight="true" outlineLevel="0" collapsed="false">
      <c r="A23" s="4" t="s">
        <v>723</v>
      </c>
      <c r="B23" s="4" t="s">
        <v>248</v>
      </c>
      <c r="C23" s="4" t="s">
        <v>724</v>
      </c>
      <c r="D23" s="4" t="s">
        <v>725</v>
      </c>
      <c r="E23" s="4" t="s">
        <v>704</v>
      </c>
      <c r="F23" s="4" t="s">
        <v>726</v>
      </c>
      <c r="G23" s="4" t="s">
        <v>727</v>
      </c>
      <c r="H23" s="4" t="s">
        <v>622</v>
      </c>
    </row>
    <row r="24" customFormat="false" ht="43.5" hidden="false" customHeight="true" outlineLevel="0" collapsed="false">
      <c r="A24" s="5" t="s">
        <v>728</v>
      </c>
      <c r="B24" s="5" t="s">
        <v>248</v>
      </c>
      <c r="C24" s="5" t="s">
        <v>729</v>
      </c>
      <c r="D24" s="5" t="s">
        <v>730</v>
      </c>
      <c r="E24" s="5" t="s">
        <v>704</v>
      </c>
      <c r="F24" s="5" t="s">
        <v>731</v>
      </c>
      <c r="G24" s="5" t="s">
        <v>732</v>
      </c>
      <c r="H24" s="5" t="s">
        <v>622</v>
      </c>
    </row>
    <row r="25" customFormat="false" ht="43.5" hidden="false" customHeight="true" outlineLevel="0" collapsed="false">
      <c r="A25" s="4" t="s">
        <v>733</v>
      </c>
      <c r="B25" s="4" t="s">
        <v>248</v>
      </c>
      <c r="C25" s="4" t="s">
        <v>734</v>
      </c>
      <c r="D25" s="4" t="s">
        <v>735</v>
      </c>
      <c r="E25" s="4" t="s">
        <v>704</v>
      </c>
      <c r="F25" s="4" t="s">
        <v>736</v>
      </c>
      <c r="G25" s="4" t="s">
        <v>732</v>
      </c>
      <c r="H25" s="4" t="s">
        <v>622</v>
      </c>
    </row>
    <row r="26" customFormat="false" ht="43.5" hidden="false" customHeight="true" outlineLevel="0" collapsed="false">
      <c r="A26" s="5" t="s">
        <v>737</v>
      </c>
      <c r="B26" s="5" t="s">
        <v>248</v>
      </c>
      <c r="C26" s="5" t="s">
        <v>738</v>
      </c>
      <c r="D26" s="5" t="s">
        <v>739</v>
      </c>
      <c r="E26" s="5" t="s">
        <v>704</v>
      </c>
      <c r="F26" s="5" t="s">
        <v>740</v>
      </c>
      <c r="G26" s="5" t="s">
        <v>732</v>
      </c>
      <c r="H26" s="5" t="s">
        <v>622</v>
      </c>
    </row>
    <row r="27" customFormat="false" ht="43.5" hidden="false" customHeight="true" outlineLevel="0" collapsed="false">
      <c r="A27" s="4" t="s">
        <v>741</v>
      </c>
      <c r="B27" s="4" t="s">
        <v>248</v>
      </c>
      <c r="C27" s="4" t="s">
        <v>742</v>
      </c>
      <c r="D27" s="4" t="s">
        <v>743</v>
      </c>
      <c r="E27" s="4" t="s">
        <v>704</v>
      </c>
      <c r="F27" s="4" t="s">
        <v>744</v>
      </c>
      <c r="G27" s="4" t="s">
        <v>745</v>
      </c>
      <c r="H27" s="4" t="s">
        <v>622</v>
      </c>
    </row>
    <row r="28" customFormat="false" ht="43.5" hidden="false" customHeight="true" outlineLevel="0" collapsed="false">
      <c r="A28" s="5" t="s">
        <v>746</v>
      </c>
      <c r="B28" s="5" t="s">
        <v>368</v>
      </c>
      <c r="C28" s="5" t="s">
        <v>747</v>
      </c>
      <c r="D28" s="5" t="s">
        <v>748</v>
      </c>
      <c r="E28" s="5" t="s">
        <v>704</v>
      </c>
      <c r="F28" s="5" t="s">
        <v>749</v>
      </c>
      <c r="G28" s="5" t="s">
        <v>750</v>
      </c>
      <c r="H28" s="5" t="s">
        <v>649</v>
      </c>
    </row>
    <row r="29" customFormat="false" ht="43.5" hidden="false" customHeight="true" outlineLevel="0" collapsed="false">
      <c r="A29" s="4" t="s">
        <v>751</v>
      </c>
      <c r="B29" s="4" t="s">
        <v>368</v>
      </c>
      <c r="C29" s="4" t="s">
        <v>752</v>
      </c>
      <c r="D29" s="4" t="s">
        <v>753</v>
      </c>
      <c r="E29" s="4" t="s">
        <v>704</v>
      </c>
      <c r="F29" s="4" t="s">
        <v>754</v>
      </c>
      <c r="G29" s="4" t="s">
        <v>755</v>
      </c>
      <c r="H29" s="4" t="s">
        <v>622</v>
      </c>
    </row>
    <row r="30" customFormat="false" ht="43.5" hidden="false" customHeight="true" outlineLevel="0" collapsed="false">
      <c r="A30" s="5" t="s">
        <v>756</v>
      </c>
      <c r="B30" s="5" t="s">
        <v>368</v>
      </c>
      <c r="C30" s="5" t="s">
        <v>757</v>
      </c>
      <c r="D30" s="5" t="s">
        <v>758</v>
      </c>
      <c r="E30" s="5" t="s">
        <v>704</v>
      </c>
      <c r="F30" s="5" t="s">
        <v>759</v>
      </c>
      <c r="G30" s="5" t="s">
        <v>755</v>
      </c>
      <c r="H30" s="5" t="s">
        <v>622</v>
      </c>
    </row>
    <row r="31" customFormat="false" ht="43.5" hidden="false" customHeight="true" outlineLevel="0" collapsed="false">
      <c r="A31" s="4" t="s">
        <v>760</v>
      </c>
      <c r="B31" s="4" t="s">
        <v>248</v>
      </c>
      <c r="C31" s="4" t="s">
        <v>761</v>
      </c>
      <c r="D31" s="4" t="s">
        <v>762</v>
      </c>
      <c r="E31" s="4" t="s">
        <v>704</v>
      </c>
      <c r="F31" s="4" t="s">
        <v>763</v>
      </c>
      <c r="G31" s="4" t="s">
        <v>764</v>
      </c>
      <c r="H31" s="4" t="s">
        <v>622</v>
      </c>
    </row>
    <row r="32" customFormat="false" ht="43.5" hidden="false" customHeight="true" outlineLevel="0" collapsed="false">
      <c r="A32" s="5" t="s">
        <v>765</v>
      </c>
      <c r="B32" s="5" t="s">
        <v>248</v>
      </c>
      <c r="C32" s="5" t="s">
        <v>766</v>
      </c>
      <c r="D32" s="5" t="s">
        <v>767</v>
      </c>
      <c r="E32" s="5" t="s">
        <v>704</v>
      </c>
      <c r="F32" s="5" t="s">
        <v>768</v>
      </c>
      <c r="G32" s="5" t="s">
        <v>732</v>
      </c>
      <c r="H32" s="5" t="s">
        <v>622</v>
      </c>
    </row>
    <row r="33" customFormat="false" ht="43.5" hidden="false" customHeight="true" outlineLevel="0" collapsed="false">
      <c r="A33" s="4" t="s">
        <v>769</v>
      </c>
      <c r="B33" s="4" t="s">
        <v>770</v>
      </c>
      <c r="C33" s="4" t="s">
        <v>771</v>
      </c>
      <c r="D33" s="4" t="s">
        <v>772</v>
      </c>
      <c r="E33" s="4" t="s">
        <v>773</v>
      </c>
      <c r="F33" s="4" t="s">
        <v>774</v>
      </c>
      <c r="G33" s="4" t="s">
        <v>775</v>
      </c>
      <c r="H33" s="4" t="s">
        <v>622</v>
      </c>
    </row>
    <row r="34" customFormat="false" ht="43.5" hidden="false" customHeight="true" outlineLevel="0" collapsed="false">
      <c r="A34" s="5" t="s">
        <v>776</v>
      </c>
      <c r="B34" s="5" t="s">
        <v>770</v>
      </c>
      <c r="C34" s="5" t="s">
        <v>777</v>
      </c>
      <c r="D34" s="5" t="s">
        <v>772</v>
      </c>
      <c r="E34" s="5" t="s">
        <v>704</v>
      </c>
      <c r="F34" s="5" t="s">
        <v>778</v>
      </c>
      <c r="G34" s="5" t="s">
        <v>779</v>
      </c>
      <c r="H34" s="5" t="s">
        <v>622</v>
      </c>
    </row>
    <row r="35" customFormat="false" ht="43.5" hidden="false" customHeight="true" outlineLevel="0" collapsed="false">
      <c r="A35" s="4" t="s">
        <v>780</v>
      </c>
      <c r="B35" s="4" t="s">
        <v>770</v>
      </c>
      <c r="C35" s="4" t="s">
        <v>781</v>
      </c>
      <c r="D35" s="4" t="s">
        <v>782</v>
      </c>
      <c r="E35" s="4" t="s">
        <v>704</v>
      </c>
      <c r="F35" s="4" t="s">
        <v>783</v>
      </c>
      <c r="G35" s="4" t="s">
        <v>784</v>
      </c>
      <c r="H35" s="4" t="s">
        <v>622</v>
      </c>
    </row>
    <row r="36" customFormat="false" ht="43.5" hidden="false" customHeight="true" outlineLevel="0" collapsed="false">
      <c r="A36" s="5" t="s">
        <v>785</v>
      </c>
      <c r="B36" s="5" t="s">
        <v>786</v>
      </c>
      <c r="C36" s="5" t="s">
        <v>787</v>
      </c>
      <c r="D36" s="5" t="s">
        <v>714</v>
      </c>
      <c r="E36" s="5" t="s">
        <v>633</v>
      </c>
      <c r="F36" s="5" t="s">
        <v>788</v>
      </c>
      <c r="G36" s="5" t="s">
        <v>789</v>
      </c>
      <c r="H36" s="5" t="s">
        <v>649</v>
      </c>
    </row>
    <row r="37" customFormat="false" ht="43.5" hidden="false" customHeight="true" outlineLevel="0" collapsed="false">
      <c r="A37" s="4" t="s">
        <v>790</v>
      </c>
      <c r="B37" s="4" t="s">
        <v>770</v>
      </c>
      <c r="C37" s="4" t="s">
        <v>791</v>
      </c>
      <c r="D37" s="4" t="s">
        <v>772</v>
      </c>
      <c r="E37" s="4" t="s">
        <v>704</v>
      </c>
      <c r="F37" s="4" t="s">
        <v>778</v>
      </c>
      <c r="G37" s="4" t="s">
        <v>792</v>
      </c>
      <c r="H37" s="4" t="s">
        <v>649</v>
      </c>
    </row>
    <row r="38" customFormat="false" ht="43.5" hidden="false" customHeight="true" outlineLevel="0" collapsed="false">
      <c r="A38" s="5" t="s">
        <v>793</v>
      </c>
      <c r="B38" s="5" t="s">
        <v>770</v>
      </c>
      <c r="C38" s="5" t="s">
        <v>794</v>
      </c>
      <c r="D38" s="5" t="s">
        <v>772</v>
      </c>
      <c r="E38" s="5" t="s">
        <v>795</v>
      </c>
      <c r="F38" s="5" t="s">
        <v>774</v>
      </c>
      <c r="G38" s="5" t="s">
        <v>796</v>
      </c>
      <c r="H38" s="5" t="s">
        <v>649</v>
      </c>
    </row>
    <row r="39" customFormat="false" ht="43.5" hidden="false" customHeight="true" outlineLevel="0" collapsed="false">
      <c r="A39" s="4" t="s">
        <v>797</v>
      </c>
      <c r="B39" s="4" t="s">
        <v>770</v>
      </c>
      <c r="C39" s="4" t="s">
        <v>798</v>
      </c>
      <c r="D39" s="4" t="s">
        <v>799</v>
      </c>
      <c r="E39" s="4" t="s">
        <v>800</v>
      </c>
      <c r="F39" s="4" t="s">
        <v>801</v>
      </c>
      <c r="G39" s="4" t="s">
        <v>802</v>
      </c>
      <c r="H39" s="4" t="s">
        <v>622</v>
      </c>
    </row>
    <row r="40" customFormat="false" ht="43.5" hidden="false" customHeight="true" outlineLevel="0" collapsed="false">
      <c r="A40" s="5" t="s">
        <v>803</v>
      </c>
      <c r="B40" s="5" t="s">
        <v>770</v>
      </c>
      <c r="C40" s="5" t="s">
        <v>804</v>
      </c>
      <c r="D40" s="5" t="s">
        <v>805</v>
      </c>
      <c r="E40" s="5" t="s">
        <v>773</v>
      </c>
      <c r="F40" s="5" t="s">
        <v>774</v>
      </c>
      <c r="G40" s="5" t="s">
        <v>806</v>
      </c>
      <c r="H40" s="5" t="s">
        <v>622</v>
      </c>
    </row>
    <row r="41" customFormat="false" ht="43.5" hidden="false" customHeight="true" outlineLevel="0" collapsed="false">
      <c r="A41" s="4" t="s">
        <v>807</v>
      </c>
      <c r="B41" s="4" t="s">
        <v>770</v>
      </c>
      <c r="C41" s="4" t="s">
        <v>808</v>
      </c>
      <c r="D41" s="4" t="s">
        <v>809</v>
      </c>
      <c r="E41" s="4" t="s">
        <v>810</v>
      </c>
      <c r="F41" s="4" t="s">
        <v>811</v>
      </c>
      <c r="G41" s="4" t="s">
        <v>812</v>
      </c>
      <c r="H41" s="4" t="s">
        <v>622</v>
      </c>
    </row>
    <row r="42" customFormat="false" ht="43.5" hidden="false" customHeight="true" outlineLevel="0" collapsed="false">
      <c r="A42" s="5" t="s">
        <v>813</v>
      </c>
      <c r="B42" s="5" t="s">
        <v>770</v>
      </c>
      <c r="C42" s="5" t="s">
        <v>814</v>
      </c>
      <c r="D42" s="5" t="s">
        <v>799</v>
      </c>
      <c r="E42" s="5" t="s">
        <v>800</v>
      </c>
      <c r="F42" s="5" t="s">
        <v>801</v>
      </c>
      <c r="G42" s="5" t="s">
        <v>815</v>
      </c>
      <c r="H42" s="5" t="s">
        <v>622</v>
      </c>
    </row>
    <row r="43" customFormat="false" ht="43.5" hidden="false" customHeight="true" outlineLevel="0" collapsed="false">
      <c r="A43" s="4" t="s">
        <v>816</v>
      </c>
      <c r="B43" s="4" t="s">
        <v>770</v>
      </c>
      <c r="C43" s="4" t="s">
        <v>817</v>
      </c>
      <c r="D43" s="4" t="s">
        <v>818</v>
      </c>
      <c r="E43" s="4" t="s">
        <v>704</v>
      </c>
      <c r="F43" s="4" t="s">
        <v>778</v>
      </c>
      <c r="G43" s="4" t="s">
        <v>819</v>
      </c>
      <c r="H43" s="4" t="s">
        <v>622</v>
      </c>
    </row>
    <row r="44" customFormat="false" ht="43.5" hidden="false" customHeight="true" outlineLevel="0" collapsed="false">
      <c r="A44" s="5" t="s">
        <v>820</v>
      </c>
      <c r="B44" s="5" t="s">
        <v>770</v>
      </c>
      <c r="C44" s="5" t="s">
        <v>821</v>
      </c>
      <c r="D44" s="5" t="s">
        <v>822</v>
      </c>
      <c r="E44" s="5" t="s">
        <v>823</v>
      </c>
      <c r="F44" s="5" t="s">
        <v>774</v>
      </c>
      <c r="G44" s="5" t="s">
        <v>824</v>
      </c>
      <c r="H44" s="5" t="s">
        <v>622</v>
      </c>
    </row>
    <row r="45" customFormat="false" ht="43.5" hidden="false" customHeight="true" outlineLevel="0" collapsed="false">
      <c r="A45" s="4" t="s">
        <v>825</v>
      </c>
      <c r="B45" s="4" t="s">
        <v>770</v>
      </c>
      <c r="C45" s="4" t="s">
        <v>826</v>
      </c>
      <c r="D45" s="4" t="s">
        <v>827</v>
      </c>
      <c r="E45" s="4" t="s">
        <v>828</v>
      </c>
      <c r="F45" s="4" t="s">
        <v>774</v>
      </c>
      <c r="G45" s="4" t="s">
        <v>829</v>
      </c>
      <c r="H45" s="4" t="s">
        <v>622</v>
      </c>
    </row>
    <row r="46" customFormat="false" ht="43.5" hidden="false" customHeight="true" outlineLevel="0" collapsed="false">
      <c r="A46" s="5" t="s">
        <v>830</v>
      </c>
      <c r="B46" s="5" t="s">
        <v>770</v>
      </c>
      <c r="C46" s="5" t="s">
        <v>831</v>
      </c>
      <c r="D46" s="5" t="s">
        <v>805</v>
      </c>
      <c r="E46" s="5" t="s">
        <v>773</v>
      </c>
      <c r="F46" s="5" t="s">
        <v>774</v>
      </c>
      <c r="G46" s="5" t="s">
        <v>806</v>
      </c>
      <c r="H46" s="5" t="s">
        <v>622</v>
      </c>
    </row>
    <row r="47" customFormat="false" ht="43.5" hidden="false" customHeight="true" outlineLevel="0" collapsed="false">
      <c r="A47" s="4" t="s">
        <v>832</v>
      </c>
      <c r="B47" s="4" t="s">
        <v>770</v>
      </c>
      <c r="C47" s="4" t="s">
        <v>833</v>
      </c>
      <c r="D47" s="4" t="s">
        <v>772</v>
      </c>
      <c r="E47" s="4" t="s">
        <v>795</v>
      </c>
      <c r="F47" s="4" t="s">
        <v>774</v>
      </c>
      <c r="G47" s="4" t="s">
        <v>834</v>
      </c>
      <c r="H47" s="4" t="s">
        <v>649</v>
      </c>
    </row>
    <row r="48" customFormat="false" ht="43.5" hidden="false" customHeight="true" outlineLevel="0" collapsed="false">
      <c r="A48" s="5" t="s">
        <v>835</v>
      </c>
      <c r="B48" s="5" t="s">
        <v>770</v>
      </c>
      <c r="C48" s="5" t="s">
        <v>836</v>
      </c>
      <c r="D48" s="5" t="s">
        <v>772</v>
      </c>
      <c r="E48" s="5" t="s">
        <v>795</v>
      </c>
      <c r="F48" s="5" t="s">
        <v>774</v>
      </c>
      <c r="G48" s="5" t="s">
        <v>806</v>
      </c>
      <c r="H48" s="5" t="s">
        <v>649</v>
      </c>
    </row>
    <row r="49" customFormat="false" ht="43.5" hidden="false" customHeight="true" outlineLevel="0" collapsed="false">
      <c r="A49" s="4" t="s">
        <v>837</v>
      </c>
      <c r="B49" s="4" t="s">
        <v>770</v>
      </c>
      <c r="C49" s="4" t="s">
        <v>838</v>
      </c>
      <c r="D49" s="4" t="s">
        <v>772</v>
      </c>
      <c r="E49" s="4" t="s">
        <v>795</v>
      </c>
      <c r="F49" s="4" t="s">
        <v>774</v>
      </c>
      <c r="G49" s="4" t="s">
        <v>806</v>
      </c>
      <c r="H49" s="4" t="s">
        <v>622</v>
      </c>
    </row>
  </sheetData>
  <autoFilter ref="A4:H4"/>
  <conditionalFormatting sqref="H5:H49">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839</v>
      </c>
    </row>
    <row r="2" customFormat="false" ht="15" hidden="false" customHeight="false" outlineLevel="0" collapsed="false">
      <c r="A2" s="2" t="s">
        <v>840</v>
      </c>
    </row>
    <row r="4" customFormat="false" ht="30" hidden="false" customHeight="true" outlineLevel="0" collapsed="false">
      <c r="A4" s="3" t="s">
        <v>841</v>
      </c>
      <c r="B4" s="3" t="s">
        <v>842</v>
      </c>
      <c r="C4" s="3" t="s">
        <v>843</v>
      </c>
      <c r="D4" s="3" t="s">
        <v>844</v>
      </c>
      <c r="E4" s="3" t="s">
        <v>845</v>
      </c>
      <c r="F4" s="3" t="s">
        <v>188</v>
      </c>
      <c r="G4" s="3" t="s">
        <v>846</v>
      </c>
      <c r="H4" s="3" t="s">
        <v>847</v>
      </c>
      <c r="I4" s="3" t="s">
        <v>848</v>
      </c>
      <c r="J4" s="3" t="s">
        <v>849</v>
      </c>
      <c r="K4" s="3" t="s">
        <v>850</v>
      </c>
      <c r="L4" s="3" t="s">
        <v>851</v>
      </c>
    </row>
    <row r="5" customFormat="false" ht="69.75" hidden="false" customHeight="true" outlineLevel="0" collapsed="false">
      <c r="A5" s="4" t="s">
        <v>193</v>
      </c>
      <c r="B5" s="4" t="s">
        <v>852</v>
      </c>
      <c r="C5" s="4" t="s">
        <v>853</v>
      </c>
      <c r="D5" s="4" t="s">
        <v>854</v>
      </c>
      <c r="E5" s="4" t="s">
        <v>855</v>
      </c>
      <c r="F5" s="4" t="s">
        <v>856</v>
      </c>
      <c r="G5" s="4" t="s">
        <v>857</v>
      </c>
      <c r="H5" s="4" t="s">
        <v>858</v>
      </c>
      <c r="I5" s="4" t="s">
        <v>859</v>
      </c>
      <c r="J5" s="4" t="s">
        <v>859</v>
      </c>
      <c r="K5" s="4" t="s">
        <v>860</v>
      </c>
      <c r="L5" s="4" t="s">
        <v>861</v>
      </c>
    </row>
    <row r="6" customFormat="false" ht="69.75" hidden="false" customHeight="true" outlineLevel="0" collapsed="false">
      <c r="A6" s="5" t="s">
        <v>862</v>
      </c>
      <c r="B6" s="5" t="s">
        <v>852</v>
      </c>
      <c r="C6" s="5" t="s">
        <v>853</v>
      </c>
      <c r="D6" s="5" t="s">
        <v>134</v>
      </c>
      <c r="E6" s="5" t="s">
        <v>863</v>
      </c>
      <c r="F6" s="5" t="s">
        <v>191</v>
      </c>
      <c r="G6" s="5" t="s">
        <v>864</v>
      </c>
      <c r="H6" s="5" t="s">
        <v>865</v>
      </c>
      <c r="I6" s="5" t="s">
        <v>859</v>
      </c>
      <c r="J6" s="5" t="s">
        <v>859</v>
      </c>
      <c r="K6" s="5" t="s">
        <v>866</v>
      </c>
      <c r="L6" s="5" t="s">
        <v>867</v>
      </c>
    </row>
    <row r="7" customFormat="false" ht="69.75" hidden="false" customHeight="true" outlineLevel="0" collapsed="false">
      <c r="A7" s="4" t="s">
        <v>868</v>
      </c>
      <c r="B7" s="4" t="s">
        <v>852</v>
      </c>
      <c r="C7" s="4" t="s">
        <v>853</v>
      </c>
      <c r="D7" s="4" t="s">
        <v>869</v>
      </c>
      <c r="E7" s="4" t="s">
        <v>870</v>
      </c>
      <c r="F7" s="4" t="s">
        <v>199</v>
      </c>
      <c r="G7" s="4" t="s">
        <v>857</v>
      </c>
      <c r="H7" s="4" t="s">
        <v>871</v>
      </c>
      <c r="I7" s="4" t="s">
        <v>859</v>
      </c>
      <c r="J7" s="4" t="s">
        <v>859</v>
      </c>
      <c r="K7" s="4" t="s">
        <v>872</v>
      </c>
      <c r="L7" s="4" t="s">
        <v>873</v>
      </c>
    </row>
    <row r="8" customFormat="false" ht="69.75" hidden="false" customHeight="true" outlineLevel="0" collapsed="false">
      <c r="A8" s="5" t="s">
        <v>874</v>
      </c>
      <c r="B8" s="5" t="s">
        <v>852</v>
      </c>
      <c r="C8" s="5" t="s">
        <v>875</v>
      </c>
      <c r="D8" s="5" t="s">
        <v>876</v>
      </c>
      <c r="E8" s="5" t="s">
        <v>877</v>
      </c>
      <c r="F8" s="5" t="s">
        <v>878</v>
      </c>
      <c r="G8" s="5" t="s">
        <v>864</v>
      </c>
      <c r="H8" s="5" t="s">
        <v>879</v>
      </c>
      <c r="I8" s="5" t="s">
        <v>859</v>
      </c>
      <c r="J8" s="5" t="s">
        <v>859</v>
      </c>
      <c r="K8" s="5" t="s">
        <v>880</v>
      </c>
      <c r="L8" s="5" t="s">
        <v>881</v>
      </c>
    </row>
    <row r="9" customFormat="false" ht="69.75" hidden="false" customHeight="true" outlineLevel="0" collapsed="false">
      <c r="A9" s="4" t="s">
        <v>882</v>
      </c>
      <c r="B9" s="4" t="s">
        <v>852</v>
      </c>
      <c r="C9" s="4" t="s">
        <v>875</v>
      </c>
      <c r="D9" s="4" t="s">
        <v>883</v>
      </c>
      <c r="E9" s="4" t="s">
        <v>884</v>
      </c>
      <c r="F9" s="4" t="s">
        <v>885</v>
      </c>
      <c r="G9" s="4" t="s">
        <v>864</v>
      </c>
      <c r="H9" s="4" t="s">
        <v>886</v>
      </c>
      <c r="I9" s="4" t="s">
        <v>887</v>
      </c>
      <c r="J9" s="4" t="s">
        <v>859</v>
      </c>
      <c r="K9" s="4" t="s">
        <v>888</v>
      </c>
      <c r="L9" s="4" t="s">
        <v>889</v>
      </c>
    </row>
    <row r="10" customFormat="false" ht="69.75" hidden="false" customHeight="true" outlineLevel="0" collapsed="false">
      <c r="A10" s="5" t="s">
        <v>890</v>
      </c>
      <c r="B10" s="5" t="s">
        <v>891</v>
      </c>
      <c r="C10" s="5" t="s">
        <v>892</v>
      </c>
      <c r="D10" s="5" t="s">
        <v>140</v>
      </c>
      <c r="E10" s="5" t="s">
        <v>893</v>
      </c>
      <c r="F10" s="5" t="s">
        <v>856</v>
      </c>
      <c r="G10" s="5" t="s">
        <v>857</v>
      </c>
      <c r="H10" s="5" t="s">
        <v>894</v>
      </c>
      <c r="I10" s="5" t="s">
        <v>859</v>
      </c>
      <c r="J10" s="5" t="s">
        <v>859</v>
      </c>
      <c r="K10" s="5" t="s">
        <v>895</v>
      </c>
      <c r="L10" s="5" t="s">
        <v>896</v>
      </c>
    </row>
    <row r="11" customFormat="false" ht="69.75" hidden="false" customHeight="true" outlineLevel="0" collapsed="false">
      <c r="A11" s="4" t="s">
        <v>897</v>
      </c>
      <c r="B11" s="4" t="s">
        <v>891</v>
      </c>
      <c r="C11" s="4" t="s">
        <v>892</v>
      </c>
      <c r="D11" s="4" t="s">
        <v>141</v>
      </c>
      <c r="E11" s="4" t="s">
        <v>898</v>
      </c>
      <c r="F11" s="4" t="s">
        <v>899</v>
      </c>
      <c r="G11" s="4" t="s">
        <v>857</v>
      </c>
      <c r="H11" s="4" t="s">
        <v>900</v>
      </c>
      <c r="I11" s="4" t="s">
        <v>859</v>
      </c>
      <c r="J11" s="4" t="s">
        <v>887</v>
      </c>
      <c r="K11" s="4" t="s">
        <v>901</v>
      </c>
      <c r="L11" s="4" t="s">
        <v>902</v>
      </c>
    </row>
    <row r="12" customFormat="false" ht="69.75" hidden="false" customHeight="true" outlineLevel="0" collapsed="false">
      <c r="A12" s="5" t="s">
        <v>903</v>
      </c>
      <c r="B12" s="5" t="s">
        <v>891</v>
      </c>
      <c r="C12" s="5" t="s">
        <v>892</v>
      </c>
      <c r="D12" s="5" t="s">
        <v>904</v>
      </c>
      <c r="E12" s="5" t="s">
        <v>905</v>
      </c>
      <c r="F12" s="5" t="s">
        <v>906</v>
      </c>
      <c r="G12" s="5" t="s">
        <v>857</v>
      </c>
      <c r="H12" s="5" t="s">
        <v>907</v>
      </c>
      <c r="I12" s="5" t="s">
        <v>859</v>
      </c>
      <c r="J12" s="5" t="s">
        <v>859</v>
      </c>
      <c r="K12" s="5" t="s">
        <v>908</v>
      </c>
      <c r="L12" s="5" t="s">
        <v>909</v>
      </c>
    </row>
    <row r="13" customFormat="false" ht="69.75" hidden="false" customHeight="true" outlineLevel="0" collapsed="false">
      <c r="A13" s="4" t="s">
        <v>910</v>
      </c>
      <c r="B13" s="4" t="s">
        <v>891</v>
      </c>
      <c r="C13" s="4" t="s">
        <v>911</v>
      </c>
      <c r="D13" s="4" t="s">
        <v>912</v>
      </c>
      <c r="E13" s="4" t="s">
        <v>913</v>
      </c>
      <c r="F13" s="4" t="s">
        <v>914</v>
      </c>
      <c r="G13" s="4" t="s">
        <v>857</v>
      </c>
      <c r="H13" s="4" t="s">
        <v>915</v>
      </c>
      <c r="I13" s="4" t="s">
        <v>859</v>
      </c>
      <c r="J13" s="4" t="s">
        <v>859</v>
      </c>
      <c r="K13" s="4" t="s">
        <v>916</v>
      </c>
      <c r="L13" s="4" t="s">
        <v>917</v>
      </c>
    </row>
    <row r="14" customFormat="false" ht="69.75" hidden="false" customHeight="true" outlineLevel="0" collapsed="false">
      <c r="A14" s="5" t="s">
        <v>918</v>
      </c>
      <c r="B14" s="5" t="s">
        <v>919</v>
      </c>
      <c r="C14" s="5" t="s">
        <v>920</v>
      </c>
      <c r="D14" s="5" t="s">
        <v>921</v>
      </c>
      <c r="E14" s="5" t="s">
        <v>922</v>
      </c>
      <c r="F14" s="5" t="s">
        <v>923</v>
      </c>
      <c r="G14" s="5" t="s">
        <v>857</v>
      </c>
      <c r="H14" s="5" t="s">
        <v>924</v>
      </c>
      <c r="I14" s="5" t="s">
        <v>859</v>
      </c>
      <c r="J14" s="5" t="s">
        <v>859</v>
      </c>
      <c r="K14" s="5" t="s">
        <v>925</v>
      </c>
      <c r="L14" s="5" t="s">
        <v>926</v>
      </c>
    </row>
    <row r="15" customFormat="false" ht="69.75" hidden="false" customHeight="true" outlineLevel="0" collapsed="false">
      <c r="A15" s="4" t="s">
        <v>204</v>
      </c>
      <c r="B15" s="4" t="s">
        <v>919</v>
      </c>
      <c r="C15" s="4" t="s">
        <v>920</v>
      </c>
      <c r="D15" s="4" t="s">
        <v>927</v>
      </c>
      <c r="E15" s="4" t="s">
        <v>928</v>
      </c>
      <c r="F15" s="4" t="s">
        <v>929</v>
      </c>
      <c r="G15" s="4" t="s">
        <v>864</v>
      </c>
      <c r="H15" s="4" t="s">
        <v>930</v>
      </c>
      <c r="I15" s="4" t="s">
        <v>887</v>
      </c>
      <c r="J15" s="4" t="s">
        <v>859</v>
      </c>
      <c r="K15" s="4" t="s">
        <v>931</v>
      </c>
      <c r="L15" s="4" t="s">
        <v>932</v>
      </c>
    </row>
    <row r="16" customFormat="false" ht="69.75" hidden="false" customHeight="true" outlineLevel="0" collapsed="false">
      <c r="A16" s="5" t="s">
        <v>933</v>
      </c>
      <c r="B16" s="5" t="s">
        <v>919</v>
      </c>
      <c r="C16" s="5" t="s">
        <v>920</v>
      </c>
      <c r="D16" s="5" t="s">
        <v>934</v>
      </c>
      <c r="E16" s="5" t="s">
        <v>935</v>
      </c>
      <c r="F16" s="5" t="s">
        <v>906</v>
      </c>
      <c r="G16" s="5" t="s">
        <v>857</v>
      </c>
      <c r="H16" s="5" t="s">
        <v>936</v>
      </c>
      <c r="I16" s="5" t="s">
        <v>859</v>
      </c>
      <c r="J16" s="5" t="s">
        <v>859</v>
      </c>
      <c r="K16" s="5" t="s">
        <v>937</v>
      </c>
      <c r="L16" s="5" t="s">
        <v>938</v>
      </c>
    </row>
    <row r="17" customFormat="false" ht="69.75" hidden="false" customHeight="true" outlineLevel="0" collapsed="false">
      <c r="A17" s="4" t="s">
        <v>939</v>
      </c>
      <c r="B17" s="4" t="s">
        <v>919</v>
      </c>
      <c r="C17" s="4" t="s">
        <v>940</v>
      </c>
      <c r="D17" s="4" t="s">
        <v>941</v>
      </c>
      <c r="E17" s="4" t="s">
        <v>942</v>
      </c>
      <c r="F17" s="4" t="s">
        <v>943</v>
      </c>
      <c r="G17" s="4" t="s">
        <v>857</v>
      </c>
      <c r="H17" s="4" t="s">
        <v>944</v>
      </c>
      <c r="I17" s="4" t="s">
        <v>859</v>
      </c>
      <c r="J17" s="4" t="s">
        <v>859</v>
      </c>
      <c r="K17" s="4" t="s">
        <v>945</v>
      </c>
      <c r="L17" s="4" t="s">
        <v>946</v>
      </c>
    </row>
    <row r="18" customFormat="false" ht="69.75" hidden="false" customHeight="true" outlineLevel="0" collapsed="false">
      <c r="A18" s="5" t="s">
        <v>196</v>
      </c>
      <c r="B18" s="5" t="s">
        <v>947</v>
      </c>
      <c r="C18" s="5" t="s">
        <v>948</v>
      </c>
      <c r="D18" s="5" t="s">
        <v>949</v>
      </c>
      <c r="E18" s="5" t="s">
        <v>950</v>
      </c>
      <c r="F18" s="5" t="s">
        <v>951</v>
      </c>
      <c r="G18" s="5" t="s">
        <v>857</v>
      </c>
      <c r="H18" s="5" t="s">
        <v>952</v>
      </c>
      <c r="I18" s="5" t="s">
        <v>859</v>
      </c>
      <c r="J18" s="5" t="s">
        <v>859</v>
      </c>
      <c r="K18" s="5" t="s">
        <v>953</v>
      </c>
      <c r="L18" s="5" t="s">
        <v>954</v>
      </c>
    </row>
    <row r="19" customFormat="false" ht="69.75" hidden="false" customHeight="true" outlineLevel="0" collapsed="false">
      <c r="A19" s="4" t="s">
        <v>955</v>
      </c>
      <c r="B19" s="4" t="s">
        <v>947</v>
      </c>
      <c r="C19" s="4" t="s">
        <v>956</v>
      </c>
      <c r="D19" s="4" t="s">
        <v>957</v>
      </c>
      <c r="E19" s="4" t="s">
        <v>958</v>
      </c>
      <c r="F19" s="4" t="s">
        <v>959</v>
      </c>
      <c r="G19" s="4" t="s">
        <v>857</v>
      </c>
      <c r="H19" s="4" t="s">
        <v>960</v>
      </c>
      <c r="I19" s="4" t="s">
        <v>859</v>
      </c>
      <c r="J19" s="4" t="s">
        <v>859</v>
      </c>
      <c r="K19" s="4" t="s">
        <v>961</v>
      </c>
      <c r="L19" s="4" t="s">
        <v>962</v>
      </c>
    </row>
    <row r="20" customFormat="false" ht="69.75" hidden="false" customHeight="true" outlineLevel="0" collapsed="false">
      <c r="A20" s="5" t="s">
        <v>963</v>
      </c>
      <c r="B20" s="5" t="s">
        <v>947</v>
      </c>
      <c r="C20" s="5" t="s">
        <v>956</v>
      </c>
      <c r="D20" s="5" t="s">
        <v>964</v>
      </c>
      <c r="E20" s="5" t="s">
        <v>965</v>
      </c>
      <c r="F20" s="5" t="s">
        <v>966</v>
      </c>
      <c r="G20" s="5" t="s">
        <v>864</v>
      </c>
      <c r="H20" s="5" t="s">
        <v>967</v>
      </c>
      <c r="I20" s="5" t="s">
        <v>859</v>
      </c>
      <c r="J20" s="5" t="s">
        <v>859</v>
      </c>
      <c r="K20" s="5" t="s">
        <v>968</v>
      </c>
      <c r="L20" s="5" t="s">
        <v>969</v>
      </c>
    </row>
    <row r="21" customFormat="false" ht="69.75" hidden="false" customHeight="true" outlineLevel="0" collapsed="false">
      <c r="A21" s="4" t="s">
        <v>206</v>
      </c>
      <c r="B21" s="4" t="s">
        <v>970</v>
      </c>
      <c r="C21" s="4" t="s">
        <v>971</v>
      </c>
      <c r="D21" s="4" t="s">
        <v>972</v>
      </c>
      <c r="E21" s="4" t="s">
        <v>973</v>
      </c>
      <c r="F21" s="4" t="s">
        <v>974</v>
      </c>
      <c r="G21" s="4" t="s">
        <v>857</v>
      </c>
      <c r="H21" s="4" t="s">
        <v>975</v>
      </c>
      <c r="I21" s="4" t="s">
        <v>859</v>
      </c>
      <c r="J21" s="4" t="s">
        <v>859</v>
      </c>
      <c r="K21" s="4" t="s">
        <v>976</v>
      </c>
      <c r="L21" s="4" t="s">
        <v>977</v>
      </c>
    </row>
    <row r="22" customFormat="false" ht="69.75" hidden="false" customHeight="true" outlineLevel="0" collapsed="false">
      <c r="A22" s="5" t="s">
        <v>209</v>
      </c>
      <c r="B22" s="5" t="s">
        <v>970</v>
      </c>
      <c r="C22" s="5" t="s">
        <v>978</v>
      </c>
      <c r="D22" s="5" t="s">
        <v>146</v>
      </c>
      <c r="E22" s="5" t="s">
        <v>979</v>
      </c>
      <c r="F22" s="5" t="s">
        <v>980</v>
      </c>
      <c r="G22" s="5" t="s">
        <v>857</v>
      </c>
      <c r="H22" s="5" t="s">
        <v>981</v>
      </c>
      <c r="I22" s="5" t="s">
        <v>859</v>
      </c>
      <c r="J22" s="5" t="s">
        <v>859</v>
      </c>
      <c r="K22" s="5" t="s">
        <v>982</v>
      </c>
      <c r="L22" s="5" t="s">
        <v>983</v>
      </c>
    </row>
    <row r="23" customFormat="false" ht="69.75" hidden="false" customHeight="true" outlineLevel="0" collapsed="false">
      <c r="A23" s="4" t="s">
        <v>212</v>
      </c>
      <c r="B23" s="4" t="s">
        <v>970</v>
      </c>
      <c r="C23" s="4" t="s">
        <v>984</v>
      </c>
      <c r="D23" s="4" t="s">
        <v>985</v>
      </c>
      <c r="E23" s="4" t="s">
        <v>986</v>
      </c>
      <c r="F23" s="4" t="s">
        <v>987</v>
      </c>
      <c r="G23" s="4" t="s">
        <v>857</v>
      </c>
      <c r="H23" s="4" t="s">
        <v>988</v>
      </c>
      <c r="I23" s="4" t="s">
        <v>859</v>
      </c>
      <c r="J23" s="4" t="s">
        <v>859</v>
      </c>
      <c r="K23" s="4" t="s">
        <v>989</v>
      </c>
      <c r="L23" s="4" t="s">
        <v>990</v>
      </c>
    </row>
    <row r="24" customFormat="false" ht="69.75" hidden="false" customHeight="true" outlineLevel="0" collapsed="false">
      <c r="A24" s="5" t="s">
        <v>214</v>
      </c>
      <c r="B24" s="5" t="s">
        <v>991</v>
      </c>
      <c r="C24" s="5" t="s">
        <v>992</v>
      </c>
      <c r="D24" s="5" t="s">
        <v>148</v>
      </c>
      <c r="E24" s="5" t="s">
        <v>993</v>
      </c>
      <c r="F24" s="5" t="s">
        <v>914</v>
      </c>
      <c r="G24" s="5" t="s">
        <v>864</v>
      </c>
      <c r="H24" s="5" t="s">
        <v>994</v>
      </c>
      <c r="I24" s="5" t="s">
        <v>887</v>
      </c>
      <c r="J24" s="5" t="s">
        <v>859</v>
      </c>
      <c r="K24" s="5" t="s">
        <v>995</v>
      </c>
      <c r="L24" s="5" t="s">
        <v>996</v>
      </c>
    </row>
    <row r="25" customFormat="false" ht="69.75" hidden="false" customHeight="true" outlineLevel="0" collapsed="false">
      <c r="A25" s="4" t="s">
        <v>997</v>
      </c>
      <c r="B25" s="4" t="s">
        <v>991</v>
      </c>
      <c r="C25" s="4" t="s">
        <v>998</v>
      </c>
      <c r="D25" s="4" t="s">
        <v>149</v>
      </c>
      <c r="E25" s="4" t="s">
        <v>999</v>
      </c>
      <c r="F25" s="4" t="s">
        <v>1000</v>
      </c>
      <c r="G25" s="4" t="s">
        <v>857</v>
      </c>
      <c r="H25" s="4" t="s">
        <v>1001</v>
      </c>
      <c r="I25" s="4" t="s">
        <v>859</v>
      </c>
      <c r="J25" s="4" t="s">
        <v>859</v>
      </c>
      <c r="K25" s="4" t="s">
        <v>1002</v>
      </c>
      <c r="L25" s="4" t="s">
        <v>1003</v>
      </c>
    </row>
    <row r="26" customFormat="false" ht="69.75" hidden="false" customHeight="true" outlineLevel="0" collapsed="false">
      <c r="A26" s="5" t="s">
        <v>1004</v>
      </c>
      <c r="B26" s="5" t="s">
        <v>991</v>
      </c>
      <c r="C26" s="5" t="s">
        <v>998</v>
      </c>
      <c r="D26" s="5" t="s">
        <v>1005</v>
      </c>
      <c r="E26" s="5" t="s">
        <v>1006</v>
      </c>
      <c r="F26" s="5" t="s">
        <v>974</v>
      </c>
      <c r="G26" s="5" t="s">
        <v>857</v>
      </c>
      <c r="H26" s="5" t="s">
        <v>1007</v>
      </c>
      <c r="I26" s="5" t="s">
        <v>859</v>
      </c>
      <c r="J26" s="5" t="s">
        <v>859</v>
      </c>
      <c r="K26" s="5" t="s">
        <v>1008</v>
      </c>
      <c r="L26" s="5" t="s">
        <v>1009</v>
      </c>
    </row>
    <row r="27" customFormat="false" ht="69.75" hidden="false" customHeight="true" outlineLevel="0" collapsed="false">
      <c r="A27" s="4" t="s">
        <v>217</v>
      </c>
      <c r="B27" s="4" t="s">
        <v>991</v>
      </c>
      <c r="C27" s="4" t="s">
        <v>998</v>
      </c>
      <c r="D27" s="4" t="s">
        <v>150</v>
      </c>
      <c r="E27" s="4" t="s">
        <v>1010</v>
      </c>
      <c r="F27" s="4" t="s">
        <v>191</v>
      </c>
      <c r="G27" s="4" t="s">
        <v>857</v>
      </c>
      <c r="H27" s="4" t="s">
        <v>1011</v>
      </c>
      <c r="I27" s="4" t="s">
        <v>859</v>
      </c>
      <c r="J27" s="4" t="s">
        <v>859</v>
      </c>
      <c r="K27" s="4" t="s">
        <v>1012</v>
      </c>
      <c r="L27" s="4" t="s">
        <v>1013</v>
      </c>
    </row>
    <row r="28" customFormat="false" ht="69.75" hidden="false" customHeight="true" outlineLevel="0" collapsed="false">
      <c r="A28" s="5" t="s">
        <v>220</v>
      </c>
      <c r="B28" s="5" t="s">
        <v>991</v>
      </c>
      <c r="C28" s="5" t="s">
        <v>1014</v>
      </c>
      <c r="D28" s="5" t="s">
        <v>151</v>
      </c>
      <c r="E28" s="5" t="s">
        <v>1015</v>
      </c>
      <c r="F28" s="5" t="s">
        <v>1016</v>
      </c>
      <c r="G28" s="5" t="s">
        <v>864</v>
      </c>
      <c r="H28" s="5" t="s">
        <v>1017</v>
      </c>
      <c r="I28" s="5" t="s">
        <v>859</v>
      </c>
      <c r="J28" s="5" t="s">
        <v>859</v>
      </c>
      <c r="K28" s="5" t="s">
        <v>1018</v>
      </c>
      <c r="L28" s="5" t="s">
        <v>1019</v>
      </c>
    </row>
    <row r="29" customFormat="false" ht="69.75" hidden="false" customHeight="true" outlineLevel="0" collapsed="false">
      <c r="A29" s="4" t="s">
        <v>222</v>
      </c>
      <c r="B29" s="4" t="s">
        <v>1020</v>
      </c>
      <c r="C29" s="4" t="s">
        <v>1021</v>
      </c>
      <c r="D29" s="4" t="s">
        <v>152</v>
      </c>
      <c r="E29" s="4" t="s">
        <v>1022</v>
      </c>
      <c r="F29" s="4" t="s">
        <v>1023</v>
      </c>
      <c r="G29" s="4" t="s">
        <v>857</v>
      </c>
      <c r="H29" s="4" t="s">
        <v>1024</v>
      </c>
      <c r="I29" s="4" t="s">
        <v>859</v>
      </c>
      <c r="J29" s="4" t="s">
        <v>859</v>
      </c>
      <c r="K29" s="4" t="s">
        <v>1025</v>
      </c>
      <c r="L29" s="4" t="s">
        <v>1026</v>
      </c>
    </row>
    <row r="30" customFormat="false" ht="69.75" hidden="false" customHeight="true" outlineLevel="0" collapsed="false">
      <c r="A30" s="5" t="s">
        <v>224</v>
      </c>
      <c r="B30" s="5" t="s">
        <v>1020</v>
      </c>
      <c r="C30" s="5" t="s">
        <v>1027</v>
      </c>
      <c r="D30" s="5" t="s">
        <v>153</v>
      </c>
      <c r="E30" s="5" t="s">
        <v>1028</v>
      </c>
      <c r="F30" s="5" t="s">
        <v>1029</v>
      </c>
      <c r="G30" s="5" t="s">
        <v>857</v>
      </c>
      <c r="H30" s="5" t="s">
        <v>1030</v>
      </c>
      <c r="I30" s="5" t="s">
        <v>859</v>
      </c>
      <c r="J30" s="5" t="s">
        <v>859</v>
      </c>
      <c r="K30" s="5" t="s">
        <v>1031</v>
      </c>
      <c r="L30" s="5" t="s">
        <v>1032</v>
      </c>
    </row>
    <row r="31" customFormat="false" ht="69.75" hidden="false" customHeight="true" outlineLevel="0" collapsed="false">
      <c r="A31" s="4" t="s">
        <v>227</v>
      </c>
      <c r="B31" s="4" t="s">
        <v>1020</v>
      </c>
      <c r="C31" s="4" t="s">
        <v>1033</v>
      </c>
      <c r="D31" s="4" t="s">
        <v>1034</v>
      </c>
      <c r="E31" s="4" t="s">
        <v>1035</v>
      </c>
      <c r="F31" s="4" t="s">
        <v>987</v>
      </c>
      <c r="G31" s="4" t="s">
        <v>857</v>
      </c>
      <c r="H31" s="4" t="s">
        <v>1036</v>
      </c>
      <c r="I31" s="4" t="s">
        <v>859</v>
      </c>
      <c r="J31" s="4" t="s">
        <v>859</v>
      </c>
      <c r="K31" s="4" t="s">
        <v>1037</v>
      </c>
      <c r="L31" s="4" t="s">
        <v>1038</v>
      </c>
    </row>
    <row r="32" customFormat="false" ht="69.75" hidden="false" customHeight="true" outlineLevel="0" collapsed="false">
      <c r="A32" s="5" t="s">
        <v>229</v>
      </c>
      <c r="B32" s="5" t="s">
        <v>1020</v>
      </c>
      <c r="C32" s="5" t="s">
        <v>1033</v>
      </c>
      <c r="D32" s="5" t="s">
        <v>155</v>
      </c>
      <c r="E32" s="5" t="s">
        <v>1039</v>
      </c>
      <c r="F32" s="5" t="s">
        <v>1040</v>
      </c>
      <c r="G32" s="5" t="s">
        <v>857</v>
      </c>
      <c r="H32" s="5" t="s">
        <v>1041</v>
      </c>
      <c r="I32" s="5" t="s">
        <v>859</v>
      </c>
      <c r="J32" s="5" t="s">
        <v>859</v>
      </c>
      <c r="K32" s="5" t="s">
        <v>1042</v>
      </c>
      <c r="L32" s="5" t="s">
        <v>1043</v>
      </c>
    </row>
    <row r="33" customFormat="false" ht="69.75" hidden="false" customHeight="true" outlineLevel="0" collapsed="false">
      <c r="A33" s="4" t="s">
        <v>232</v>
      </c>
      <c r="B33" s="4" t="s">
        <v>1020</v>
      </c>
      <c r="C33" s="4" t="s">
        <v>1044</v>
      </c>
      <c r="D33" s="4" t="s">
        <v>1045</v>
      </c>
      <c r="E33" s="4" t="s">
        <v>1046</v>
      </c>
      <c r="F33" s="4" t="s">
        <v>914</v>
      </c>
      <c r="G33" s="4" t="s">
        <v>857</v>
      </c>
      <c r="H33" s="4" t="s">
        <v>1047</v>
      </c>
      <c r="I33" s="4" t="s">
        <v>859</v>
      </c>
      <c r="J33" s="4" t="s">
        <v>859</v>
      </c>
      <c r="K33" s="4" t="s">
        <v>1048</v>
      </c>
      <c r="L33" s="4" t="s">
        <v>1049</v>
      </c>
    </row>
    <row r="34" customFormat="false" ht="69.75" hidden="false" customHeight="true" outlineLevel="0" collapsed="false">
      <c r="A34" s="5" t="s">
        <v>234</v>
      </c>
      <c r="B34" s="5" t="s">
        <v>1020</v>
      </c>
      <c r="C34" s="5" t="s">
        <v>1044</v>
      </c>
      <c r="D34" s="5" t="s">
        <v>1050</v>
      </c>
      <c r="E34" s="5" t="s">
        <v>1051</v>
      </c>
      <c r="F34" s="5" t="s">
        <v>216</v>
      </c>
      <c r="G34" s="5" t="s">
        <v>857</v>
      </c>
      <c r="H34" s="5" t="s">
        <v>1052</v>
      </c>
      <c r="I34" s="5" t="s">
        <v>859</v>
      </c>
      <c r="J34" s="5" t="s">
        <v>859</v>
      </c>
      <c r="K34" s="5" t="s">
        <v>1053</v>
      </c>
      <c r="L34" s="5" t="s">
        <v>1054</v>
      </c>
    </row>
    <row r="35" customFormat="false" ht="69.75" hidden="false" customHeight="true" outlineLevel="0" collapsed="false">
      <c r="A35" s="4" t="s">
        <v>236</v>
      </c>
      <c r="B35" s="4" t="s">
        <v>1020</v>
      </c>
      <c r="C35" s="4" t="s">
        <v>1055</v>
      </c>
      <c r="D35" s="4" t="s">
        <v>1056</v>
      </c>
      <c r="E35" s="4" t="s">
        <v>1057</v>
      </c>
      <c r="F35" s="4" t="s">
        <v>1058</v>
      </c>
      <c r="G35" s="4" t="s">
        <v>864</v>
      </c>
      <c r="H35" s="4" t="s">
        <v>1059</v>
      </c>
      <c r="I35" s="4" t="s">
        <v>859</v>
      </c>
      <c r="J35" s="4" t="s">
        <v>859</v>
      </c>
      <c r="K35" s="4" t="s">
        <v>1060</v>
      </c>
      <c r="L35" s="4" t="s">
        <v>1061</v>
      </c>
    </row>
    <row r="36" customFormat="false" ht="69.75" hidden="false" customHeight="true" outlineLevel="0" collapsed="false">
      <c r="A36" s="5" t="s">
        <v>1062</v>
      </c>
      <c r="B36" s="5" t="s">
        <v>1063</v>
      </c>
      <c r="C36" s="5" t="s">
        <v>1064</v>
      </c>
      <c r="D36" s="5" t="s">
        <v>1065</v>
      </c>
      <c r="E36" s="5" t="s">
        <v>1066</v>
      </c>
      <c r="F36" s="5" t="s">
        <v>1067</v>
      </c>
      <c r="G36" s="5" t="s">
        <v>857</v>
      </c>
      <c r="H36" s="5" t="s">
        <v>1068</v>
      </c>
      <c r="I36" s="5" t="s">
        <v>859</v>
      </c>
      <c r="J36" s="5" t="s">
        <v>859</v>
      </c>
      <c r="K36" s="5" t="s">
        <v>1069</v>
      </c>
      <c r="L36" s="5" t="s">
        <v>1070</v>
      </c>
    </row>
    <row r="37" customFormat="false" ht="69.75" hidden="false" customHeight="true" outlineLevel="0" collapsed="false">
      <c r="A37" s="4" t="s">
        <v>242</v>
      </c>
      <c r="B37" s="4" t="s">
        <v>1063</v>
      </c>
      <c r="C37" s="4" t="s">
        <v>1064</v>
      </c>
      <c r="D37" s="4" t="s">
        <v>1071</v>
      </c>
      <c r="E37" s="4" t="s">
        <v>1072</v>
      </c>
      <c r="F37" s="4" t="s">
        <v>1073</v>
      </c>
      <c r="G37" s="4" t="s">
        <v>864</v>
      </c>
      <c r="H37" s="4" t="s">
        <v>1074</v>
      </c>
      <c r="I37" s="4" t="s">
        <v>859</v>
      </c>
      <c r="J37" s="4" t="s">
        <v>859</v>
      </c>
      <c r="K37" s="4" t="s">
        <v>1075</v>
      </c>
      <c r="L37" s="4" t="s">
        <v>1076</v>
      </c>
    </row>
    <row r="38" customFormat="false" ht="69.75" hidden="false" customHeight="true" outlineLevel="0" collapsed="false">
      <c r="A38" s="5" t="s">
        <v>1077</v>
      </c>
      <c r="B38" s="5" t="s">
        <v>1063</v>
      </c>
      <c r="C38" s="5" t="s">
        <v>1078</v>
      </c>
      <c r="D38" s="5" t="s">
        <v>1079</v>
      </c>
      <c r="E38" s="5" t="s">
        <v>1080</v>
      </c>
      <c r="F38" s="5" t="s">
        <v>1081</v>
      </c>
      <c r="G38" s="5" t="s">
        <v>857</v>
      </c>
      <c r="H38" s="5" t="s">
        <v>1082</v>
      </c>
      <c r="I38" s="5" t="s">
        <v>859</v>
      </c>
      <c r="J38" s="5" t="s">
        <v>859</v>
      </c>
      <c r="K38" s="5" t="s">
        <v>1083</v>
      </c>
      <c r="L38" s="5" t="s">
        <v>1084</v>
      </c>
    </row>
    <row r="39" customFormat="false" ht="69.75" hidden="false" customHeight="true" outlineLevel="0" collapsed="false">
      <c r="A39" s="4" t="s">
        <v>1085</v>
      </c>
      <c r="B39" s="4" t="s">
        <v>1063</v>
      </c>
      <c r="C39" s="4" t="s">
        <v>1078</v>
      </c>
      <c r="D39" s="4" t="s">
        <v>1086</v>
      </c>
      <c r="E39" s="4" t="s">
        <v>1087</v>
      </c>
      <c r="F39" s="4" t="s">
        <v>1088</v>
      </c>
      <c r="G39" s="4" t="s">
        <v>1089</v>
      </c>
      <c r="H39" s="4" t="s">
        <v>1090</v>
      </c>
      <c r="I39" s="4" t="s">
        <v>887</v>
      </c>
      <c r="J39" s="4" t="s">
        <v>887</v>
      </c>
      <c r="K39" s="4" t="s">
        <v>1091</v>
      </c>
      <c r="L39" s="4" t="s">
        <v>1092</v>
      </c>
    </row>
    <row r="40" customFormat="false" ht="69.75" hidden="false" customHeight="true" outlineLevel="0" collapsed="false">
      <c r="A40" s="5" t="s">
        <v>246</v>
      </c>
      <c r="B40" s="5" t="s">
        <v>1093</v>
      </c>
      <c r="C40" s="5" t="s">
        <v>1094</v>
      </c>
      <c r="D40" s="5" t="s">
        <v>1095</v>
      </c>
      <c r="E40" s="5" t="s">
        <v>1096</v>
      </c>
      <c r="F40" s="5" t="s">
        <v>247</v>
      </c>
      <c r="G40" s="5" t="s">
        <v>857</v>
      </c>
      <c r="H40" s="5" t="s">
        <v>1097</v>
      </c>
      <c r="I40" s="5" t="s">
        <v>859</v>
      </c>
      <c r="J40" s="5" t="s">
        <v>887</v>
      </c>
      <c r="K40" s="5" t="s">
        <v>1098</v>
      </c>
      <c r="L40" s="5" t="s">
        <v>1099</v>
      </c>
    </row>
    <row r="41" customFormat="false" ht="69.75" hidden="false" customHeight="true" outlineLevel="0" collapsed="false">
      <c r="A41" s="4" t="s">
        <v>249</v>
      </c>
      <c r="B41" s="4" t="s">
        <v>1093</v>
      </c>
      <c r="C41" s="4" t="s">
        <v>1100</v>
      </c>
      <c r="D41" s="4" t="s">
        <v>164</v>
      </c>
      <c r="E41" s="4" t="s">
        <v>1101</v>
      </c>
      <c r="F41" s="4" t="s">
        <v>1102</v>
      </c>
      <c r="G41" s="4" t="s">
        <v>857</v>
      </c>
      <c r="H41" s="4" t="s">
        <v>1103</v>
      </c>
      <c r="I41" s="4" t="s">
        <v>859</v>
      </c>
      <c r="J41" s="4" t="s">
        <v>859</v>
      </c>
      <c r="K41" s="4" t="s">
        <v>1104</v>
      </c>
      <c r="L41" s="4" t="s">
        <v>1105</v>
      </c>
    </row>
    <row r="42" customFormat="false" ht="69.75" hidden="false" customHeight="true" outlineLevel="0" collapsed="false">
      <c r="A42" s="5" t="s">
        <v>251</v>
      </c>
      <c r="B42" s="5" t="s">
        <v>1093</v>
      </c>
      <c r="C42" s="5" t="s">
        <v>1106</v>
      </c>
      <c r="D42" s="5" t="s">
        <v>165</v>
      </c>
      <c r="E42" s="5" t="s">
        <v>1107</v>
      </c>
      <c r="F42" s="5" t="s">
        <v>252</v>
      </c>
      <c r="G42" s="5" t="s">
        <v>857</v>
      </c>
      <c r="H42" s="5" t="s">
        <v>1108</v>
      </c>
      <c r="I42" s="5" t="s">
        <v>859</v>
      </c>
      <c r="J42" s="5" t="s">
        <v>859</v>
      </c>
      <c r="K42" s="5" t="s">
        <v>1109</v>
      </c>
      <c r="L42" s="5" t="s">
        <v>1110</v>
      </c>
    </row>
    <row r="43" customFormat="false" ht="69.75" hidden="false" customHeight="true" outlineLevel="0" collapsed="false">
      <c r="A43" s="4" t="s">
        <v>253</v>
      </c>
      <c r="B43" s="4" t="s">
        <v>1093</v>
      </c>
      <c r="C43" s="4" t="s">
        <v>1111</v>
      </c>
      <c r="D43" s="4" t="s">
        <v>1112</v>
      </c>
      <c r="E43" s="4" t="s">
        <v>1113</v>
      </c>
      <c r="F43" s="4" t="s">
        <v>1114</v>
      </c>
      <c r="G43" s="4" t="s">
        <v>864</v>
      </c>
      <c r="H43" s="4" t="s">
        <v>1115</v>
      </c>
      <c r="I43" s="4" t="s">
        <v>859</v>
      </c>
      <c r="J43" s="4" t="s">
        <v>887</v>
      </c>
      <c r="K43" s="4" t="s">
        <v>1116</v>
      </c>
      <c r="L43" s="4" t="s">
        <v>1117</v>
      </c>
    </row>
    <row r="44" customFormat="false" ht="69.75" hidden="false" customHeight="true" outlineLevel="0" collapsed="false">
      <c r="A44" s="5" t="s">
        <v>256</v>
      </c>
      <c r="B44" s="5" t="s">
        <v>1093</v>
      </c>
      <c r="C44" s="5" t="s">
        <v>1118</v>
      </c>
      <c r="D44" s="5" t="s">
        <v>1119</v>
      </c>
      <c r="E44" s="5" t="s">
        <v>1120</v>
      </c>
      <c r="F44" s="5" t="s">
        <v>1121</v>
      </c>
      <c r="G44" s="5" t="s">
        <v>1122</v>
      </c>
      <c r="H44" s="5" t="s">
        <v>1123</v>
      </c>
      <c r="I44" s="5" t="s">
        <v>887</v>
      </c>
      <c r="J44" s="5" t="s">
        <v>887</v>
      </c>
      <c r="K44" s="5" t="s">
        <v>1124</v>
      </c>
      <c r="L44" s="5" t="s">
        <v>1125</v>
      </c>
    </row>
    <row r="45" customFormat="false" ht="69.75" hidden="false" customHeight="true" outlineLevel="0" collapsed="false">
      <c r="A45" s="4" t="s">
        <v>259</v>
      </c>
      <c r="B45" s="4" t="s">
        <v>1093</v>
      </c>
      <c r="C45" s="4" t="s">
        <v>1126</v>
      </c>
      <c r="D45" s="4" t="s">
        <v>1127</v>
      </c>
      <c r="E45" s="4" t="s">
        <v>1128</v>
      </c>
      <c r="F45" s="4" t="s">
        <v>1129</v>
      </c>
      <c r="G45" s="4" t="s">
        <v>857</v>
      </c>
      <c r="H45" s="4" t="s">
        <v>1130</v>
      </c>
      <c r="I45" s="4" t="s">
        <v>859</v>
      </c>
      <c r="J45" s="4" t="s">
        <v>859</v>
      </c>
      <c r="K45" s="4" t="s">
        <v>1131</v>
      </c>
      <c r="L45" s="4" t="s">
        <v>1132</v>
      </c>
    </row>
    <row r="46" customFormat="false" ht="69.75" hidden="false" customHeight="true" outlineLevel="0" collapsed="false">
      <c r="A46" s="5" t="s">
        <v>261</v>
      </c>
      <c r="B46" s="5" t="s">
        <v>1133</v>
      </c>
      <c r="C46" s="5" t="s">
        <v>1134</v>
      </c>
      <c r="D46" s="5" t="s">
        <v>1135</v>
      </c>
      <c r="E46" s="5" t="s">
        <v>1136</v>
      </c>
      <c r="F46" s="5" t="s">
        <v>1137</v>
      </c>
      <c r="G46" s="5" t="s">
        <v>857</v>
      </c>
      <c r="H46" s="5" t="s">
        <v>1138</v>
      </c>
      <c r="I46" s="5" t="s">
        <v>859</v>
      </c>
      <c r="J46" s="5" t="s">
        <v>859</v>
      </c>
      <c r="K46" s="5" t="s">
        <v>1139</v>
      </c>
      <c r="L46" s="5" t="s">
        <v>1140</v>
      </c>
    </row>
    <row r="47" customFormat="false" ht="69.75" hidden="false" customHeight="true" outlineLevel="0" collapsed="false">
      <c r="A47" s="4" t="s">
        <v>263</v>
      </c>
      <c r="B47" s="4" t="s">
        <v>1133</v>
      </c>
      <c r="C47" s="4" t="s">
        <v>1141</v>
      </c>
      <c r="D47" s="4" t="s">
        <v>170</v>
      </c>
      <c r="E47" s="4" t="s">
        <v>1142</v>
      </c>
      <c r="F47" s="4" t="s">
        <v>1143</v>
      </c>
      <c r="G47" s="4" t="s">
        <v>864</v>
      </c>
      <c r="H47" s="4" t="s">
        <v>1144</v>
      </c>
      <c r="I47" s="4" t="s">
        <v>859</v>
      </c>
      <c r="J47" s="4" t="s">
        <v>887</v>
      </c>
      <c r="K47" s="4" t="s">
        <v>1145</v>
      </c>
      <c r="L47" s="4" t="s">
        <v>1146</v>
      </c>
    </row>
    <row r="48" customFormat="false" ht="69.75" hidden="false" customHeight="true" outlineLevel="0" collapsed="false">
      <c r="A48" s="5" t="s">
        <v>265</v>
      </c>
      <c r="B48" s="5" t="s">
        <v>1133</v>
      </c>
      <c r="C48" s="5" t="s">
        <v>1147</v>
      </c>
      <c r="D48" s="5" t="s">
        <v>1148</v>
      </c>
      <c r="E48" s="5" t="s">
        <v>1149</v>
      </c>
      <c r="F48" s="5" t="s">
        <v>974</v>
      </c>
      <c r="G48" s="5" t="s">
        <v>857</v>
      </c>
      <c r="H48" s="5" t="s">
        <v>1150</v>
      </c>
      <c r="I48" s="5" t="s">
        <v>859</v>
      </c>
      <c r="J48" s="5" t="s">
        <v>859</v>
      </c>
      <c r="K48" s="5" t="s">
        <v>1151</v>
      </c>
      <c r="L48" s="5" t="s">
        <v>1152</v>
      </c>
    </row>
    <row r="49" customFormat="false" ht="69.75" hidden="false" customHeight="true" outlineLevel="0" collapsed="false">
      <c r="A49" s="4" t="s">
        <v>267</v>
      </c>
      <c r="B49" s="4" t="s">
        <v>1133</v>
      </c>
      <c r="C49" s="4" t="s">
        <v>1153</v>
      </c>
      <c r="D49" s="4" t="s">
        <v>1154</v>
      </c>
      <c r="E49" s="4" t="s">
        <v>1155</v>
      </c>
      <c r="F49" s="4" t="s">
        <v>1156</v>
      </c>
      <c r="G49" s="4" t="s">
        <v>1157</v>
      </c>
      <c r="H49" s="4" t="s">
        <v>1158</v>
      </c>
      <c r="I49" s="4" t="s">
        <v>859</v>
      </c>
      <c r="J49" s="4" t="s">
        <v>887</v>
      </c>
      <c r="K49" s="4" t="s">
        <v>1159</v>
      </c>
      <c r="L49" s="4" t="s">
        <v>1160</v>
      </c>
    </row>
  </sheetData>
  <autoFilter ref="A4:L4"/>
  <conditionalFormatting sqref="I5:J49">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1161</v>
      </c>
    </row>
    <row r="2" customFormat="false" ht="15" hidden="false" customHeight="false" outlineLevel="0" collapsed="false">
      <c r="A2" s="2" t="s">
        <v>1162</v>
      </c>
    </row>
    <row r="4" customFormat="false" ht="30" hidden="false" customHeight="true" outlineLevel="0" collapsed="false">
      <c r="A4" s="3" t="s">
        <v>841</v>
      </c>
      <c r="B4" s="3" t="s">
        <v>1163</v>
      </c>
      <c r="C4" s="3" t="s">
        <v>770</v>
      </c>
      <c r="D4" s="3" t="s">
        <v>1164</v>
      </c>
      <c r="E4" s="3" t="s">
        <v>195</v>
      </c>
      <c r="F4" s="3" t="s">
        <v>192</v>
      </c>
      <c r="G4" s="3" t="s">
        <v>219</v>
      </c>
      <c r="H4" s="3" t="s">
        <v>367</v>
      </c>
      <c r="I4" s="3" t="s">
        <v>248</v>
      </c>
      <c r="J4" s="3" t="s">
        <v>368</v>
      </c>
      <c r="K4" s="3" t="s">
        <v>1165</v>
      </c>
      <c r="L4" s="3" t="s">
        <v>1166</v>
      </c>
    </row>
    <row r="5" customFormat="false" ht="48" hidden="false" customHeight="true" outlineLevel="0" collapsed="false">
      <c r="A5" s="4" t="s">
        <v>193</v>
      </c>
      <c r="B5" s="4" t="s">
        <v>854</v>
      </c>
      <c r="C5" s="4" t="s">
        <v>1167</v>
      </c>
      <c r="D5" s="4" t="s">
        <v>1167</v>
      </c>
      <c r="E5" s="4" t="s">
        <v>1167</v>
      </c>
      <c r="F5" s="4" t="s">
        <v>1167</v>
      </c>
      <c r="G5" s="4" t="s">
        <v>1167</v>
      </c>
      <c r="H5" s="4" t="s">
        <v>1168</v>
      </c>
      <c r="I5" s="4" t="s">
        <v>1168</v>
      </c>
      <c r="J5" s="4" t="s">
        <v>1168</v>
      </c>
      <c r="K5" s="4" t="s">
        <v>1169</v>
      </c>
      <c r="L5" s="4" t="s">
        <v>856</v>
      </c>
    </row>
    <row r="6" customFormat="false" ht="48" hidden="false" customHeight="true" outlineLevel="0" collapsed="false">
      <c r="A6" s="5" t="s">
        <v>862</v>
      </c>
      <c r="B6" s="5" t="s">
        <v>134</v>
      </c>
      <c r="C6" s="5" t="s">
        <v>1168</v>
      </c>
      <c r="D6" s="5" t="s">
        <v>1170</v>
      </c>
      <c r="E6" s="5" t="s">
        <v>1167</v>
      </c>
      <c r="F6" s="5" t="s">
        <v>1167</v>
      </c>
      <c r="G6" s="5" t="s">
        <v>1168</v>
      </c>
      <c r="H6" s="5" t="s">
        <v>1168</v>
      </c>
      <c r="I6" s="5" t="s">
        <v>1168</v>
      </c>
      <c r="J6" s="5" t="s">
        <v>1168</v>
      </c>
      <c r="K6" s="5" t="s">
        <v>1169</v>
      </c>
      <c r="L6" s="5" t="s">
        <v>1171</v>
      </c>
    </row>
    <row r="7" customFormat="false" ht="48" hidden="false" customHeight="true" outlineLevel="0" collapsed="false">
      <c r="A7" s="4" t="s">
        <v>868</v>
      </c>
      <c r="B7" s="4" t="s">
        <v>869</v>
      </c>
      <c r="C7" s="4" t="s">
        <v>1168</v>
      </c>
      <c r="D7" s="4" t="s">
        <v>1170</v>
      </c>
      <c r="E7" s="4" t="s">
        <v>1167</v>
      </c>
      <c r="F7" s="4" t="s">
        <v>1167</v>
      </c>
      <c r="G7" s="4" t="s">
        <v>1168</v>
      </c>
      <c r="H7" s="4" t="s">
        <v>1168</v>
      </c>
      <c r="I7" s="4" t="s">
        <v>1168</v>
      </c>
      <c r="J7" s="4" t="s">
        <v>1168</v>
      </c>
      <c r="K7" s="4" t="s">
        <v>1169</v>
      </c>
      <c r="L7" s="4" t="s">
        <v>1172</v>
      </c>
    </row>
    <row r="8" customFormat="false" ht="48" hidden="false" customHeight="true" outlineLevel="0" collapsed="false">
      <c r="A8" s="5" t="s">
        <v>874</v>
      </c>
      <c r="B8" s="5" t="s">
        <v>876</v>
      </c>
      <c r="C8" s="5" t="s">
        <v>1167</v>
      </c>
      <c r="D8" s="5" t="s">
        <v>1167</v>
      </c>
      <c r="E8" s="5" t="s">
        <v>1167</v>
      </c>
      <c r="F8" s="5" t="s">
        <v>1167</v>
      </c>
      <c r="G8" s="5" t="s">
        <v>1168</v>
      </c>
      <c r="H8" s="5" t="s">
        <v>1168</v>
      </c>
      <c r="I8" s="5" t="s">
        <v>1167</v>
      </c>
      <c r="J8" s="5" t="s">
        <v>1168</v>
      </c>
      <c r="K8" s="5" t="s">
        <v>1169</v>
      </c>
      <c r="L8" s="5" t="s">
        <v>878</v>
      </c>
    </row>
    <row r="9" customFormat="false" ht="48" hidden="false" customHeight="true" outlineLevel="0" collapsed="false">
      <c r="A9" s="4" t="s">
        <v>882</v>
      </c>
      <c r="B9" s="4" t="s">
        <v>883</v>
      </c>
      <c r="C9" s="4" t="s">
        <v>1167</v>
      </c>
      <c r="D9" s="4" t="s">
        <v>1167</v>
      </c>
      <c r="E9" s="4" t="s">
        <v>1167</v>
      </c>
      <c r="F9" s="4" t="s">
        <v>1167</v>
      </c>
      <c r="G9" s="4" t="s">
        <v>1168</v>
      </c>
      <c r="H9" s="4" t="s">
        <v>1168</v>
      </c>
      <c r="I9" s="4" t="s">
        <v>1168</v>
      </c>
      <c r="J9" s="4" t="s">
        <v>1168</v>
      </c>
      <c r="K9" s="4" t="s">
        <v>1173</v>
      </c>
      <c r="L9" s="4" t="s">
        <v>885</v>
      </c>
    </row>
    <row r="10" customFormat="false" ht="48" hidden="false" customHeight="true" outlineLevel="0" collapsed="false">
      <c r="A10" s="5" t="s">
        <v>890</v>
      </c>
      <c r="B10" s="5" t="s">
        <v>140</v>
      </c>
      <c r="C10" s="5" t="s">
        <v>1167</v>
      </c>
      <c r="D10" s="5" t="s">
        <v>1167</v>
      </c>
      <c r="E10" s="5" t="s">
        <v>1167</v>
      </c>
      <c r="F10" s="5" t="s">
        <v>1167</v>
      </c>
      <c r="G10" s="5" t="s">
        <v>1167</v>
      </c>
      <c r="H10" s="5" t="s">
        <v>1168</v>
      </c>
      <c r="I10" s="5" t="s">
        <v>1168</v>
      </c>
      <c r="J10" s="5" t="s">
        <v>1168</v>
      </c>
      <c r="K10" s="5" t="s">
        <v>1169</v>
      </c>
      <c r="L10" s="5" t="s">
        <v>856</v>
      </c>
    </row>
    <row r="11" customFormat="false" ht="48" hidden="false" customHeight="true" outlineLevel="0" collapsed="false">
      <c r="A11" s="4" t="s">
        <v>897</v>
      </c>
      <c r="B11" s="4" t="s">
        <v>141</v>
      </c>
      <c r="C11" s="4" t="s">
        <v>1167</v>
      </c>
      <c r="D11" s="4" t="s">
        <v>1167</v>
      </c>
      <c r="E11" s="4" t="s">
        <v>1167</v>
      </c>
      <c r="F11" s="4" t="s">
        <v>1167</v>
      </c>
      <c r="G11" s="4" t="s">
        <v>1168</v>
      </c>
      <c r="H11" s="4" t="s">
        <v>1168</v>
      </c>
      <c r="I11" s="4" t="s">
        <v>1168</v>
      </c>
      <c r="J11" s="4" t="s">
        <v>1168</v>
      </c>
      <c r="K11" s="4" t="s">
        <v>1174</v>
      </c>
      <c r="L11" s="4" t="s">
        <v>899</v>
      </c>
    </row>
    <row r="12" customFormat="false" ht="48" hidden="false" customHeight="true" outlineLevel="0" collapsed="false">
      <c r="A12" s="5" t="s">
        <v>903</v>
      </c>
      <c r="B12" s="5" t="s">
        <v>904</v>
      </c>
      <c r="C12" s="5" t="s">
        <v>1168</v>
      </c>
      <c r="D12" s="5" t="s">
        <v>1167</v>
      </c>
      <c r="E12" s="5" t="s">
        <v>1167</v>
      </c>
      <c r="F12" s="5" t="s">
        <v>1167</v>
      </c>
      <c r="G12" s="5" t="s">
        <v>1167</v>
      </c>
      <c r="H12" s="5" t="s">
        <v>1168</v>
      </c>
      <c r="I12" s="5" t="s">
        <v>1168</v>
      </c>
      <c r="J12" s="5" t="s">
        <v>1168</v>
      </c>
      <c r="K12" s="5" t="s">
        <v>1169</v>
      </c>
      <c r="L12" s="5" t="s">
        <v>906</v>
      </c>
    </row>
    <row r="13" customFormat="false" ht="48" hidden="false" customHeight="true" outlineLevel="0" collapsed="false">
      <c r="A13" s="4" t="s">
        <v>910</v>
      </c>
      <c r="B13" s="4" t="s">
        <v>912</v>
      </c>
      <c r="C13" s="4" t="s">
        <v>1168</v>
      </c>
      <c r="D13" s="4" t="s">
        <v>1167</v>
      </c>
      <c r="E13" s="4" t="s">
        <v>1167</v>
      </c>
      <c r="F13" s="4" t="s">
        <v>1167</v>
      </c>
      <c r="G13" s="4" t="s">
        <v>1167</v>
      </c>
      <c r="H13" s="4" t="s">
        <v>1167</v>
      </c>
      <c r="I13" s="4" t="s">
        <v>1168</v>
      </c>
      <c r="J13" s="4" t="s">
        <v>1168</v>
      </c>
      <c r="K13" s="4" t="s">
        <v>1169</v>
      </c>
      <c r="L13" s="4" t="s">
        <v>914</v>
      </c>
    </row>
    <row r="14" customFormat="false" ht="48" hidden="false" customHeight="true" outlineLevel="0" collapsed="false">
      <c r="A14" s="5" t="s">
        <v>918</v>
      </c>
      <c r="B14" s="5" t="s">
        <v>921</v>
      </c>
      <c r="C14" s="5" t="s">
        <v>1167</v>
      </c>
      <c r="D14" s="5" t="s">
        <v>1167</v>
      </c>
      <c r="E14" s="5" t="s">
        <v>1167</v>
      </c>
      <c r="F14" s="5" t="s">
        <v>1167</v>
      </c>
      <c r="G14" s="5" t="s">
        <v>1168</v>
      </c>
      <c r="H14" s="5" t="s">
        <v>1168</v>
      </c>
      <c r="I14" s="5" t="s">
        <v>1168</v>
      </c>
      <c r="J14" s="5" t="s">
        <v>1168</v>
      </c>
      <c r="K14" s="5" t="s">
        <v>1169</v>
      </c>
      <c r="L14" s="5" t="s">
        <v>923</v>
      </c>
    </row>
    <row r="15" customFormat="false" ht="48" hidden="false" customHeight="true" outlineLevel="0" collapsed="false">
      <c r="A15" s="4" t="s">
        <v>204</v>
      </c>
      <c r="B15" s="4" t="s">
        <v>927</v>
      </c>
      <c r="C15" s="4" t="s">
        <v>1167</v>
      </c>
      <c r="D15" s="4" t="s">
        <v>1167</v>
      </c>
      <c r="E15" s="4" t="s">
        <v>1167</v>
      </c>
      <c r="F15" s="4" t="s">
        <v>1167</v>
      </c>
      <c r="G15" s="4" t="s">
        <v>1168</v>
      </c>
      <c r="H15" s="4" t="s">
        <v>1168</v>
      </c>
      <c r="I15" s="4" t="s">
        <v>1168</v>
      </c>
      <c r="J15" s="4" t="s">
        <v>1168</v>
      </c>
      <c r="K15" s="4" t="s">
        <v>1173</v>
      </c>
      <c r="L15" s="4" t="s">
        <v>929</v>
      </c>
    </row>
    <row r="16" customFormat="false" ht="48" hidden="false" customHeight="true" outlineLevel="0" collapsed="false">
      <c r="A16" s="5" t="s">
        <v>933</v>
      </c>
      <c r="B16" s="5" t="s">
        <v>934</v>
      </c>
      <c r="C16" s="5" t="s">
        <v>1168</v>
      </c>
      <c r="D16" s="5" t="s">
        <v>1167</v>
      </c>
      <c r="E16" s="5" t="s">
        <v>1167</v>
      </c>
      <c r="F16" s="5" t="s">
        <v>1167</v>
      </c>
      <c r="G16" s="5" t="s">
        <v>1167</v>
      </c>
      <c r="H16" s="5" t="s">
        <v>1168</v>
      </c>
      <c r="I16" s="5" t="s">
        <v>1168</v>
      </c>
      <c r="J16" s="5" t="s">
        <v>1168</v>
      </c>
      <c r="K16" s="5" t="s">
        <v>1169</v>
      </c>
      <c r="L16" s="5" t="s">
        <v>906</v>
      </c>
    </row>
    <row r="17" customFormat="false" ht="48" hidden="false" customHeight="true" outlineLevel="0" collapsed="false">
      <c r="A17" s="4" t="s">
        <v>939</v>
      </c>
      <c r="B17" s="4" t="s">
        <v>941</v>
      </c>
      <c r="C17" s="4" t="s">
        <v>1167</v>
      </c>
      <c r="D17" s="4" t="s">
        <v>1167</v>
      </c>
      <c r="E17" s="4" t="s">
        <v>1167</v>
      </c>
      <c r="F17" s="4" t="s">
        <v>1167</v>
      </c>
      <c r="G17" s="4" t="s">
        <v>1168</v>
      </c>
      <c r="H17" s="4" t="s">
        <v>1168</v>
      </c>
      <c r="I17" s="4" t="s">
        <v>1167</v>
      </c>
      <c r="J17" s="4" t="s">
        <v>1168</v>
      </c>
      <c r="K17" s="4" t="s">
        <v>1169</v>
      </c>
      <c r="L17" s="4" t="s">
        <v>943</v>
      </c>
    </row>
    <row r="18" customFormat="false" ht="48" hidden="false" customHeight="true" outlineLevel="0" collapsed="false">
      <c r="A18" s="5" t="s">
        <v>196</v>
      </c>
      <c r="B18" s="5" t="s">
        <v>949</v>
      </c>
      <c r="C18" s="5" t="s">
        <v>1168</v>
      </c>
      <c r="D18" s="5" t="s">
        <v>1175</v>
      </c>
      <c r="E18" s="5" t="s">
        <v>1167</v>
      </c>
      <c r="F18" s="5" t="s">
        <v>1167</v>
      </c>
      <c r="G18" s="5" t="s">
        <v>1167</v>
      </c>
      <c r="H18" s="5" t="s">
        <v>1167</v>
      </c>
      <c r="I18" s="5" t="s">
        <v>1168</v>
      </c>
      <c r="J18" s="5" t="s">
        <v>1168</v>
      </c>
      <c r="K18" s="5" t="s">
        <v>1169</v>
      </c>
      <c r="L18" s="5" t="s">
        <v>1176</v>
      </c>
    </row>
    <row r="19" customFormat="false" ht="48" hidden="false" customHeight="true" outlineLevel="0" collapsed="false">
      <c r="A19" s="4" t="s">
        <v>955</v>
      </c>
      <c r="B19" s="4" t="s">
        <v>957</v>
      </c>
      <c r="C19" s="4" t="s">
        <v>1168</v>
      </c>
      <c r="D19" s="4" t="s">
        <v>1167</v>
      </c>
      <c r="E19" s="4" t="s">
        <v>1167</v>
      </c>
      <c r="F19" s="4" t="s">
        <v>1167</v>
      </c>
      <c r="G19" s="4" t="s">
        <v>1167</v>
      </c>
      <c r="H19" s="4" t="s">
        <v>1167</v>
      </c>
      <c r="I19" s="4" t="s">
        <v>1168</v>
      </c>
      <c r="J19" s="4" t="s">
        <v>1168</v>
      </c>
      <c r="K19" s="4" t="s">
        <v>1169</v>
      </c>
      <c r="L19" s="4" t="s">
        <v>959</v>
      </c>
    </row>
    <row r="20" customFormat="false" ht="48" hidden="false" customHeight="true" outlineLevel="0" collapsed="false">
      <c r="A20" s="5" t="s">
        <v>963</v>
      </c>
      <c r="B20" s="5" t="s">
        <v>964</v>
      </c>
      <c r="C20" s="5" t="s">
        <v>1168</v>
      </c>
      <c r="D20" s="5" t="s">
        <v>1167</v>
      </c>
      <c r="E20" s="5" t="s">
        <v>1167</v>
      </c>
      <c r="F20" s="5" t="s">
        <v>1167</v>
      </c>
      <c r="G20" s="5" t="s">
        <v>1167</v>
      </c>
      <c r="H20" s="5" t="s">
        <v>1168</v>
      </c>
      <c r="I20" s="5" t="s">
        <v>1168</v>
      </c>
      <c r="J20" s="5" t="s">
        <v>1168</v>
      </c>
      <c r="K20" s="5" t="s">
        <v>1169</v>
      </c>
      <c r="L20" s="5" t="s">
        <v>966</v>
      </c>
    </row>
    <row r="21" customFormat="false" ht="48" hidden="false" customHeight="true" outlineLevel="0" collapsed="false">
      <c r="A21" s="4" t="s">
        <v>206</v>
      </c>
      <c r="B21" s="4" t="s">
        <v>972</v>
      </c>
      <c r="C21" s="4" t="s">
        <v>1168</v>
      </c>
      <c r="D21" s="4" t="s">
        <v>1167</v>
      </c>
      <c r="E21" s="4" t="s">
        <v>1167</v>
      </c>
      <c r="F21" s="4" t="s">
        <v>1167</v>
      </c>
      <c r="G21" s="4" t="s">
        <v>1167</v>
      </c>
      <c r="H21" s="4" t="s">
        <v>1168</v>
      </c>
      <c r="I21" s="4" t="s">
        <v>1168</v>
      </c>
      <c r="J21" s="4" t="s">
        <v>1168</v>
      </c>
      <c r="K21" s="4" t="s">
        <v>1169</v>
      </c>
      <c r="L21" s="4" t="s">
        <v>974</v>
      </c>
    </row>
    <row r="22" customFormat="false" ht="48" hidden="false" customHeight="true" outlineLevel="0" collapsed="false">
      <c r="A22" s="5" t="s">
        <v>209</v>
      </c>
      <c r="B22" s="5" t="s">
        <v>146</v>
      </c>
      <c r="C22" s="5" t="s">
        <v>1167</v>
      </c>
      <c r="D22" s="5" t="s">
        <v>1167</v>
      </c>
      <c r="E22" s="5" t="s">
        <v>1168</v>
      </c>
      <c r="F22" s="5" t="s">
        <v>1167</v>
      </c>
      <c r="G22" s="5" t="s">
        <v>1167</v>
      </c>
      <c r="H22" s="5" t="s">
        <v>1168</v>
      </c>
      <c r="I22" s="5" t="s">
        <v>1167</v>
      </c>
      <c r="J22" s="5" t="s">
        <v>1168</v>
      </c>
      <c r="K22" s="5" t="s">
        <v>1169</v>
      </c>
      <c r="L22" s="5" t="s">
        <v>980</v>
      </c>
    </row>
    <row r="23" customFormat="false" ht="48" hidden="false" customHeight="true" outlineLevel="0" collapsed="false">
      <c r="A23" s="4" t="s">
        <v>212</v>
      </c>
      <c r="B23" s="4" t="s">
        <v>985</v>
      </c>
      <c r="C23" s="4" t="s">
        <v>1168</v>
      </c>
      <c r="D23" s="4" t="s">
        <v>1175</v>
      </c>
      <c r="E23" s="4" t="s">
        <v>1167</v>
      </c>
      <c r="F23" s="4" t="s">
        <v>1167</v>
      </c>
      <c r="G23" s="4" t="s">
        <v>1167</v>
      </c>
      <c r="H23" s="4" t="s">
        <v>1168</v>
      </c>
      <c r="I23" s="4" t="s">
        <v>1168</v>
      </c>
      <c r="J23" s="4" t="s">
        <v>1168</v>
      </c>
      <c r="K23" s="4" t="s">
        <v>1169</v>
      </c>
      <c r="L23" s="4" t="s">
        <v>1177</v>
      </c>
    </row>
    <row r="24" customFormat="false" ht="48" hidden="false" customHeight="true" outlineLevel="0" collapsed="false">
      <c r="A24" s="5" t="s">
        <v>214</v>
      </c>
      <c r="B24" s="5" t="s">
        <v>148</v>
      </c>
      <c r="C24" s="5" t="s">
        <v>1168</v>
      </c>
      <c r="D24" s="5" t="s">
        <v>1175</v>
      </c>
      <c r="E24" s="5" t="s">
        <v>1167</v>
      </c>
      <c r="F24" s="5" t="s">
        <v>1167</v>
      </c>
      <c r="G24" s="5" t="s">
        <v>1167</v>
      </c>
      <c r="H24" s="5" t="s">
        <v>1167</v>
      </c>
      <c r="I24" s="5" t="s">
        <v>1168</v>
      </c>
      <c r="J24" s="5" t="s">
        <v>1168</v>
      </c>
      <c r="K24" s="5" t="s">
        <v>1173</v>
      </c>
      <c r="L24" s="5" t="s">
        <v>1178</v>
      </c>
    </row>
    <row r="25" customFormat="false" ht="48" hidden="false" customHeight="true" outlineLevel="0" collapsed="false">
      <c r="A25" s="4" t="s">
        <v>997</v>
      </c>
      <c r="B25" s="4" t="s">
        <v>149</v>
      </c>
      <c r="C25" s="4" t="s">
        <v>1168</v>
      </c>
      <c r="D25" s="4" t="s">
        <v>1175</v>
      </c>
      <c r="E25" s="4" t="s">
        <v>1167</v>
      </c>
      <c r="F25" s="4" t="s">
        <v>1167</v>
      </c>
      <c r="G25" s="4" t="s">
        <v>1167</v>
      </c>
      <c r="H25" s="4" t="s">
        <v>1167</v>
      </c>
      <c r="I25" s="4" t="s">
        <v>1168</v>
      </c>
      <c r="J25" s="4" t="s">
        <v>1168</v>
      </c>
      <c r="K25" s="4" t="s">
        <v>1169</v>
      </c>
      <c r="L25" s="4" t="s">
        <v>1179</v>
      </c>
    </row>
    <row r="26" customFormat="false" ht="48" hidden="false" customHeight="true" outlineLevel="0" collapsed="false">
      <c r="A26" s="5" t="s">
        <v>1004</v>
      </c>
      <c r="B26" s="5" t="s">
        <v>1005</v>
      </c>
      <c r="C26" s="5" t="s">
        <v>1168</v>
      </c>
      <c r="D26" s="5" t="s">
        <v>1167</v>
      </c>
      <c r="E26" s="5" t="s">
        <v>1167</v>
      </c>
      <c r="F26" s="5" t="s">
        <v>1167</v>
      </c>
      <c r="G26" s="5" t="s">
        <v>1167</v>
      </c>
      <c r="H26" s="5" t="s">
        <v>1168</v>
      </c>
      <c r="I26" s="5" t="s">
        <v>1168</v>
      </c>
      <c r="J26" s="5" t="s">
        <v>1168</v>
      </c>
      <c r="K26" s="5" t="s">
        <v>1169</v>
      </c>
      <c r="L26" s="5" t="s">
        <v>974</v>
      </c>
    </row>
    <row r="27" customFormat="false" ht="48" hidden="false" customHeight="true" outlineLevel="0" collapsed="false">
      <c r="A27" s="4" t="s">
        <v>217</v>
      </c>
      <c r="B27" s="4" t="s">
        <v>150</v>
      </c>
      <c r="C27" s="4" t="s">
        <v>1168</v>
      </c>
      <c r="D27" s="4" t="s">
        <v>1167</v>
      </c>
      <c r="E27" s="4" t="s">
        <v>1167</v>
      </c>
      <c r="F27" s="4" t="s">
        <v>1167</v>
      </c>
      <c r="G27" s="4" t="s">
        <v>1168</v>
      </c>
      <c r="H27" s="4" t="s">
        <v>1168</v>
      </c>
      <c r="I27" s="4" t="s">
        <v>1168</v>
      </c>
      <c r="J27" s="4" t="s">
        <v>1168</v>
      </c>
      <c r="K27" s="4" t="s">
        <v>1169</v>
      </c>
      <c r="L27" s="4" t="s">
        <v>191</v>
      </c>
    </row>
    <row r="28" customFormat="false" ht="48" hidden="false" customHeight="true" outlineLevel="0" collapsed="false">
      <c r="A28" s="5" t="s">
        <v>220</v>
      </c>
      <c r="B28" s="5" t="s">
        <v>151</v>
      </c>
      <c r="C28" s="5" t="s">
        <v>1168</v>
      </c>
      <c r="D28" s="5" t="s">
        <v>1167</v>
      </c>
      <c r="E28" s="5" t="s">
        <v>1167</v>
      </c>
      <c r="F28" s="5" t="s">
        <v>1167</v>
      </c>
      <c r="G28" s="5" t="s">
        <v>1167</v>
      </c>
      <c r="H28" s="5" t="s">
        <v>1168</v>
      </c>
      <c r="I28" s="5" t="s">
        <v>1168</v>
      </c>
      <c r="J28" s="5" t="s">
        <v>1168</v>
      </c>
      <c r="K28" s="5" t="s">
        <v>1169</v>
      </c>
      <c r="L28" s="5" t="s">
        <v>1016</v>
      </c>
    </row>
    <row r="29" customFormat="false" ht="48" hidden="false" customHeight="true" outlineLevel="0" collapsed="false">
      <c r="A29" s="4" t="s">
        <v>222</v>
      </c>
      <c r="B29" s="4" t="s">
        <v>152</v>
      </c>
      <c r="C29" s="4" t="s">
        <v>1168</v>
      </c>
      <c r="D29" s="4" t="s">
        <v>1168</v>
      </c>
      <c r="E29" s="4" t="s">
        <v>1168</v>
      </c>
      <c r="F29" s="4" t="s">
        <v>1167</v>
      </c>
      <c r="G29" s="4" t="s">
        <v>1167</v>
      </c>
      <c r="H29" s="4" t="s">
        <v>1168</v>
      </c>
      <c r="I29" s="4" t="s">
        <v>1168</v>
      </c>
      <c r="J29" s="4" t="s">
        <v>1168</v>
      </c>
      <c r="K29" s="4" t="s">
        <v>1169</v>
      </c>
      <c r="L29" s="4" t="s">
        <v>1023</v>
      </c>
    </row>
    <row r="30" customFormat="false" ht="48" hidden="false" customHeight="true" outlineLevel="0" collapsed="false">
      <c r="A30" s="5" t="s">
        <v>224</v>
      </c>
      <c r="B30" s="5" t="s">
        <v>153</v>
      </c>
      <c r="C30" s="5" t="s">
        <v>1168</v>
      </c>
      <c r="D30" s="5" t="s">
        <v>1167</v>
      </c>
      <c r="E30" s="5" t="s">
        <v>1167</v>
      </c>
      <c r="F30" s="5" t="s">
        <v>1167</v>
      </c>
      <c r="G30" s="5" t="s">
        <v>1167</v>
      </c>
      <c r="H30" s="5" t="s">
        <v>1168</v>
      </c>
      <c r="I30" s="5" t="s">
        <v>1168</v>
      </c>
      <c r="J30" s="5" t="s">
        <v>1168</v>
      </c>
      <c r="K30" s="5" t="s">
        <v>1169</v>
      </c>
      <c r="L30" s="5" t="s">
        <v>1029</v>
      </c>
    </row>
    <row r="31" customFormat="false" ht="48" hidden="false" customHeight="true" outlineLevel="0" collapsed="false">
      <c r="A31" s="4" t="s">
        <v>227</v>
      </c>
      <c r="B31" s="4" t="s">
        <v>1034</v>
      </c>
      <c r="C31" s="4" t="s">
        <v>1168</v>
      </c>
      <c r="D31" s="4" t="s">
        <v>1167</v>
      </c>
      <c r="E31" s="4" t="s">
        <v>1167</v>
      </c>
      <c r="F31" s="4" t="s">
        <v>1167</v>
      </c>
      <c r="G31" s="4" t="s">
        <v>1167</v>
      </c>
      <c r="H31" s="4" t="s">
        <v>1168</v>
      </c>
      <c r="I31" s="4" t="s">
        <v>1168</v>
      </c>
      <c r="J31" s="4" t="s">
        <v>1168</v>
      </c>
      <c r="K31" s="4" t="s">
        <v>1169</v>
      </c>
      <c r="L31" s="4" t="s">
        <v>987</v>
      </c>
    </row>
    <row r="32" customFormat="false" ht="48" hidden="false" customHeight="true" outlineLevel="0" collapsed="false">
      <c r="A32" s="5" t="s">
        <v>229</v>
      </c>
      <c r="B32" s="5" t="s">
        <v>155</v>
      </c>
      <c r="C32" s="5" t="s">
        <v>1168</v>
      </c>
      <c r="D32" s="5" t="s">
        <v>1167</v>
      </c>
      <c r="E32" s="5" t="s">
        <v>1167</v>
      </c>
      <c r="F32" s="5" t="s">
        <v>1167</v>
      </c>
      <c r="G32" s="5" t="s">
        <v>1167</v>
      </c>
      <c r="H32" s="5" t="s">
        <v>1168</v>
      </c>
      <c r="I32" s="5" t="s">
        <v>1168</v>
      </c>
      <c r="J32" s="5" t="s">
        <v>1168</v>
      </c>
      <c r="K32" s="5" t="s">
        <v>1169</v>
      </c>
      <c r="L32" s="5" t="s">
        <v>1040</v>
      </c>
    </row>
    <row r="33" customFormat="false" ht="48" hidden="false" customHeight="true" outlineLevel="0" collapsed="false">
      <c r="A33" s="4" t="s">
        <v>232</v>
      </c>
      <c r="B33" s="4" t="s">
        <v>1045</v>
      </c>
      <c r="C33" s="4" t="s">
        <v>1168</v>
      </c>
      <c r="D33" s="4" t="s">
        <v>1167</v>
      </c>
      <c r="E33" s="4" t="s">
        <v>1167</v>
      </c>
      <c r="F33" s="4" t="s">
        <v>1167</v>
      </c>
      <c r="G33" s="4" t="s">
        <v>1167</v>
      </c>
      <c r="H33" s="4" t="s">
        <v>1167</v>
      </c>
      <c r="I33" s="4" t="s">
        <v>1168</v>
      </c>
      <c r="J33" s="4" t="s">
        <v>1168</v>
      </c>
      <c r="K33" s="4" t="s">
        <v>1169</v>
      </c>
      <c r="L33" s="4" t="s">
        <v>914</v>
      </c>
    </row>
    <row r="34" customFormat="false" ht="48" hidden="false" customHeight="true" outlineLevel="0" collapsed="false">
      <c r="A34" s="5" t="s">
        <v>234</v>
      </c>
      <c r="B34" s="5" t="s">
        <v>1050</v>
      </c>
      <c r="C34" s="5" t="s">
        <v>1168</v>
      </c>
      <c r="D34" s="5" t="s">
        <v>1167</v>
      </c>
      <c r="E34" s="5" t="s">
        <v>1167</v>
      </c>
      <c r="F34" s="5" t="s">
        <v>1167</v>
      </c>
      <c r="G34" s="5" t="s">
        <v>1167</v>
      </c>
      <c r="H34" s="5" t="s">
        <v>1168</v>
      </c>
      <c r="I34" s="5" t="s">
        <v>1168</v>
      </c>
      <c r="J34" s="5" t="s">
        <v>1168</v>
      </c>
      <c r="K34" s="5" t="s">
        <v>1169</v>
      </c>
      <c r="L34" s="5" t="s">
        <v>216</v>
      </c>
    </row>
    <row r="35" customFormat="false" ht="48" hidden="false" customHeight="true" outlineLevel="0" collapsed="false">
      <c r="A35" s="4" t="s">
        <v>236</v>
      </c>
      <c r="B35" s="4" t="s">
        <v>1056</v>
      </c>
      <c r="C35" s="4" t="s">
        <v>1167</v>
      </c>
      <c r="D35" s="4" t="s">
        <v>1168</v>
      </c>
      <c r="E35" s="4" t="s">
        <v>1167</v>
      </c>
      <c r="F35" s="4" t="s">
        <v>1167</v>
      </c>
      <c r="G35" s="4" t="s">
        <v>1167</v>
      </c>
      <c r="H35" s="4" t="s">
        <v>1168</v>
      </c>
      <c r="I35" s="4" t="s">
        <v>1168</v>
      </c>
      <c r="J35" s="4" t="s">
        <v>1168</v>
      </c>
      <c r="K35" s="4" t="s">
        <v>1169</v>
      </c>
      <c r="L35" s="4" t="s">
        <v>1180</v>
      </c>
    </row>
    <row r="36" customFormat="false" ht="48" hidden="false" customHeight="true" outlineLevel="0" collapsed="false">
      <c r="A36" s="5" t="s">
        <v>1062</v>
      </c>
      <c r="B36" s="5" t="s">
        <v>1065</v>
      </c>
      <c r="C36" s="5" t="s">
        <v>1167</v>
      </c>
      <c r="D36" s="5" t="s">
        <v>1167</v>
      </c>
      <c r="E36" s="5" t="s">
        <v>1167</v>
      </c>
      <c r="F36" s="5" t="s">
        <v>1167</v>
      </c>
      <c r="G36" s="5" t="s">
        <v>1168</v>
      </c>
      <c r="H36" s="5" t="s">
        <v>1168</v>
      </c>
      <c r="I36" s="5" t="s">
        <v>1167</v>
      </c>
      <c r="J36" s="5" t="s">
        <v>1168</v>
      </c>
      <c r="K36" s="5" t="s">
        <v>1169</v>
      </c>
      <c r="L36" s="5" t="s">
        <v>1067</v>
      </c>
    </row>
    <row r="37" customFormat="false" ht="48" hidden="false" customHeight="true" outlineLevel="0" collapsed="false">
      <c r="A37" s="4" t="s">
        <v>242</v>
      </c>
      <c r="B37" s="4" t="s">
        <v>1071</v>
      </c>
      <c r="C37" s="4" t="s">
        <v>1167</v>
      </c>
      <c r="D37" s="4" t="s">
        <v>1168</v>
      </c>
      <c r="E37" s="4" t="s">
        <v>1168</v>
      </c>
      <c r="F37" s="4" t="s">
        <v>1167</v>
      </c>
      <c r="G37" s="4" t="s">
        <v>1168</v>
      </c>
      <c r="H37" s="4" t="s">
        <v>1168</v>
      </c>
      <c r="I37" s="4" t="s">
        <v>1167</v>
      </c>
      <c r="J37" s="4" t="s">
        <v>1167</v>
      </c>
      <c r="K37" s="4" t="s">
        <v>1169</v>
      </c>
      <c r="L37" s="4" t="s">
        <v>1073</v>
      </c>
    </row>
    <row r="38" customFormat="false" ht="48" hidden="false" customHeight="true" outlineLevel="0" collapsed="false">
      <c r="A38" s="5" t="s">
        <v>1077</v>
      </c>
      <c r="B38" s="5" t="s">
        <v>1079</v>
      </c>
      <c r="C38" s="5" t="s">
        <v>1168</v>
      </c>
      <c r="D38" s="5" t="s">
        <v>1170</v>
      </c>
      <c r="E38" s="5" t="s">
        <v>1167</v>
      </c>
      <c r="F38" s="5" t="s">
        <v>1167</v>
      </c>
      <c r="G38" s="5" t="s">
        <v>1168</v>
      </c>
      <c r="H38" s="5" t="s">
        <v>1167</v>
      </c>
      <c r="I38" s="5" t="s">
        <v>1167</v>
      </c>
      <c r="J38" s="5" t="s">
        <v>1167</v>
      </c>
      <c r="K38" s="5" t="s">
        <v>1169</v>
      </c>
      <c r="L38" s="5" t="s">
        <v>1181</v>
      </c>
    </row>
    <row r="39" customFormat="false" ht="48" hidden="false" customHeight="true" outlineLevel="0" collapsed="false">
      <c r="A39" s="4" t="s">
        <v>1085</v>
      </c>
      <c r="B39" s="4" t="s">
        <v>1086</v>
      </c>
      <c r="C39" s="4" t="s">
        <v>1168</v>
      </c>
      <c r="D39" s="4" t="s">
        <v>1168</v>
      </c>
      <c r="E39" s="4" t="s">
        <v>1168</v>
      </c>
      <c r="F39" s="4" t="s">
        <v>1167</v>
      </c>
      <c r="G39" s="4" t="s">
        <v>1168</v>
      </c>
      <c r="H39" s="4" t="s">
        <v>1167</v>
      </c>
      <c r="I39" s="4" t="s">
        <v>1168</v>
      </c>
      <c r="J39" s="4" t="s">
        <v>1167</v>
      </c>
      <c r="K39" s="4" t="s">
        <v>1174</v>
      </c>
      <c r="L39" s="4" t="s">
        <v>1182</v>
      </c>
    </row>
    <row r="40" customFormat="false" ht="48" hidden="false" customHeight="true" outlineLevel="0" collapsed="false">
      <c r="A40" s="5" t="s">
        <v>246</v>
      </c>
      <c r="B40" s="5" t="s">
        <v>1095</v>
      </c>
      <c r="C40" s="5" t="s">
        <v>1167</v>
      </c>
      <c r="D40" s="5" t="s">
        <v>1168</v>
      </c>
      <c r="E40" s="5" t="s">
        <v>1167</v>
      </c>
      <c r="F40" s="5" t="s">
        <v>1168</v>
      </c>
      <c r="G40" s="5" t="s">
        <v>1167</v>
      </c>
      <c r="H40" s="5" t="s">
        <v>1168</v>
      </c>
      <c r="I40" s="5" t="s">
        <v>1168</v>
      </c>
      <c r="J40" s="5" t="s">
        <v>1168</v>
      </c>
      <c r="K40" s="5" t="s">
        <v>1174</v>
      </c>
      <c r="L40" s="5" t="s">
        <v>247</v>
      </c>
    </row>
    <row r="41" customFormat="false" ht="48" hidden="false" customHeight="true" outlineLevel="0" collapsed="false">
      <c r="A41" s="4" t="s">
        <v>249</v>
      </c>
      <c r="B41" s="4" t="s">
        <v>164</v>
      </c>
      <c r="C41" s="4" t="s">
        <v>1167</v>
      </c>
      <c r="D41" s="4" t="s">
        <v>1167</v>
      </c>
      <c r="E41" s="4" t="s">
        <v>1168</v>
      </c>
      <c r="F41" s="4" t="s">
        <v>1168</v>
      </c>
      <c r="G41" s="4" t="s">
        <v>1167</v>
      </c>
      <c r="H41" s="4" t="s">
        <v>1168</v>
      </c>
      <c r="I41" s="4" t="s">
        <v>1167</v>
      </c>
      <c r="J41" s="4" t="s">
        <v>1168</v>
      </c>
      <c r="K41" s="4" t="s">
        <v>1169</v>
      </c>
      <c r="L41" s="4" t="s">
        <v>1102</v>
      </c>
    </row>
    <row r="42" customFormat="false" ht="48" hidden="false" customHeight="true" outlineLevel="0" collapsed="false">
      <c r="A42" s="5" t="s">
        <v>251</v>
      </c>
      <c r="B42" s="5" t="s">
        <v>165</v>
      </c>
      <c r="C42" s="5" t="s">
        <v>1167</v>
      </c>
      <c r="D42" s="5" t="s">
        <v>1168</v>
      </c>
      <c r="E42" s="5" t="s">
        <v>1168</v>
      </c>
      <c r="F42" s="5" t="s">
        <v>1168</v>
      </c>
      <c r="G42" s="5" t="s">
        <v>1168</v>
      </c>
      <c r="H42" s="5" t="s">
        <v>1168</v>
      </c>
      <c r="I42" s="5" t="s">
        <v>1167</v>
      </c>
      <c r="J42" s="5" t="s">
        <v>1168</v>
      </c>
      <c r="K42" s="5" t="s">
        <v>1169</v>
      </c>
      <c r="L42" s="5" t="s">
        <v>252</v>
      </c>
    </row>
    <row r="43" customFormat="false" ht="48" hidden="false" customHeight="true" outlineLevel="0" collapsed="false">
      <c r="A43" s="4" t="s">
        <v>253</v>
      </c>
      <c r="B43" s="4" t="s">
        <v>1112</v>
      </c>
      <c r="C43" s="4" t="s">
        <v>1167</v>
      </c>
      <c r="D43" s="4" t="s">
        <v>1168</v>
      </c>
      <c r="E43" s="4" t="s">
        <v>1168</v>
      </c>
      <c r="F43" s="4" t="s">
        <v>1167</v>
      </c>
      <c r="G43" s="4" t="s">
        <v>1168</v>
      </c>
      <c r="H43" s="4" t="s">
        <v>1168</v>
      </c>
      <c r="I43" s="4" t="s">
        <v>1168</v>
      </c>
      <c r="J43" s="4" t="s">
        <v>1168</v>
      </c>
      <c r="K43" s="4" t="s">
        <v>1174</v>
      </c>
      <c r="L43" s="4" t="s">
        <v>1114</v>
      </c>
    </row>
    <row r="44" customFormat="false" ht="48" hidden="false" customHeight="true" outlineLevel="0" collapsed="false">
      <c r="A44" s="5" t="s">
        <v>256</v>
      </c>
      <c r="B44" s="5" t="s">
        <v>1119</v>
      </c>
      <c r="C44" s="5" t="s">
        <v>1167</v>
      </c>
      <c r="D44" s="5" t="s">
        <v>1168</v>
      </c>
      <c r="E44" s="5" t="s">
        <v>1168</v>
      </c>
      <c r="F44" s="5" t="s">
        <v>1168</v>
      </c>
      <c r="G44" s="5" t="s">
        <v>1168</v>
      </c>
      <c r="H44" s="5" t="s">
        <v>1168</v>
      </c>
      <c r="I44" s="5" t="s">
        <v>1168</v>
      </c>
      <c r="J44" s="5" t="s">
        <v>1168</v>
      </c>
      <c r="K44" s="5" t="s">
        <v>1174</v>
      </c>
      <c r="L44" s="5" t="s">
        <v>1183</v>
      </c>
    </row>
    <row r="45" customFormat="false" ht="48" hidden="false" customHeight="true" outlineLevel="0" collapsed="false">
      <c r="A45" s="4" t="s">
        <v>259</v>
      </c>
      <c r="B45" s="4" t="s">
        <v>1127</v>
      </c>
      <c r="C45" s="4" t="s">
        <v>1167</v>
      </c>
      <c r="D45" s="4" t="s">
        <v>1168</v>
      </c>
      <c r="E45" s="4" t="s">
        <v>1167</v>
      </c>
      <c r="F45" s="4" t="s">
        <v>1168</v>
      </c>
      <c r="G45" s="4" t="s">
        <v>1167</v>
      </c>
      <c r="H45" s="4" t="s">
        <v>1168</v>
      </c>
      <c r="I45" s="4" t="s">
        <v>1167</v>
      </c>
      <c r="J45" s="4" t="s">
        <v>1168</v>
      </c>
      <c r="K45" s="4" t="s">
        <v>1169</v>
      </c>
      <c r="L45" s="4" t="s">
        <v>1129</v>
      </c>
    </row>
    <row r="46" customFormat="false" ht="48" hidden="false" customHeight="true" outlineLevel="0" collapsed="false">
      <c r="A46" s="5" t="s">
        <v>261</v>
      </c>
      <c r="B46" s="5" t="s">
        <v>1135</v>
      </c>
      <c r="C46" s="5" t="s">
        <v>1167</v>
      </c>
      <c r="D46" s="5" t="s">
        <v>1167</v>
      </c>
      <c r="E46" s="5" t="s">
        <v>1167</v>
      </c>
      <c r="F46" s="5" t="s">
        <v>1168</v>
      </c>
      <c r="G46" s="5" t="s">
        <v>1167</v>
      </c>
      <c r="H46" s="5" t="s">
        <v>1168</v>
      </c>
      <c r="I46" s="5" t="s">
        <v>1168</v>
      </c>
      <c r="J46" s="5" t="s">
        <v>1168</v>
      </c>
      <c r="K46" s="5" t="s">
        <v>1169</v>
      </c>
      <c r="L46" s="5" t="s">
        <v>1184</v>
      </c>
    </row>
    <row r="47" customFormat="false" ht="48" hidden="false" customHeight="true" outlineLevel="0" collapsed="false">
      <c r="A47" s="4" t="s">
        <v>263</v>
      </c>
      <c r="B47" s="4" t="s">
        <v>170</v>
      </c>
      <c r="C47" s="4" t="s">
        <v>1167</v>
      </c>
      <c r="D47" s="4" t="s">
        <v>1167</v>
      </c>
      <c r="E47" s="4" t="s">
        <v>1168</v>
      </c>
      <c r="F47" s="4" t="s">
        <v>1167</v>
      </c>
      <c r="G47" s="4" t="s">
        <v>1167</v>
      </c>
      <c r="H47" s="4" t="s">
        <v>1168</v>
      </c>
      <c r="I47" s="4" t="s">
        <v>1168</v>
      </c>
      <c r="J47" s="4" t="s">
        <v>1168</v>
      </c>
      <c r="K47" s="4" t="s">
        <v>1174</v>
      </c>
      <c r="L47" s="4" t="s">
        <v>1143</v>
      </c>
    </row>
    <row r="48" customFormat="false" ht="48" hidden="false" customHeight="true" outlineLevel="0" collapsed="false">
      <c r="A48" s="5" t="s">
        <v>265</v>
      </c>
      <c r="B48" s="5" t="s">
        <v>1148</v>
      </c>
      <c r="C48" s="5" t="s">
        <v>1168</v>
      </c>
      <c r="D48" s="5" t="s">
        <v>1167</v>
      </c>
      <c r="E48" s="5" t="s">
        <v>1167</v>
      </c>
      <c r="F48" s="5" t="s">
        <v>1167</v>
      </c>
      <c r="G48" s="5" t="s">
        <v>1167</v>
      </c>
      <c r="H48" s="5" t="s">
        <v>1168</v>
      </c>
      <c r="I48" s="5" t="s">
        <v>1168</v>
      </c>
      <c r="J48" s="5" t="s">
        <v>1168</v>
      </c>
      <c r="K48" s="5" t="s">
        <v>1169</v>
      </c>
      <c r="L48" s="5" t="s">
        <v>974</v>
      </c>
    </row>
    <row r="49" customFormat="false" ht="48" hidden="false" customHeight="true" outlineLevel="0" collapsed="false">
      <c r="A49" s="4" t="s">
        <v>267</v>
      </c>
      <c r="B49" s="4" t="s">
        <v>1154</v>
      </c>
      <c r="C49" s="4" t="s">
        <v>1167</v>
      </c>
      <c r="D49" s="4" t="s">
        <v>1168</v>
      </c>
      <c r="E49" s="4" t="s">
        <v>1168</v>
      </c>
      <c r="F49" s="4" t="s">
        <v>1167</v>
      </c>
      <c r="G49" s="4" t="s">
        <v>1168</v>
      </c>
      <c r="H49" s="4" t="s">
        <v>1168</v>
      </c>
      <c r="I49" s="4" t="s">
        <v>1168</v>
      </c>
      <c r="J49" s="4" t="s">
        <v>1168</v>
      </c>
      <c r="K49" s="4" t="s">
        <v>1174</v>
      </c>
      <c r="L49" s="4" t="s">
        <v>1156</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1185</v>
      </c>
    </row>
    <row r="2" customFormat="false" ht="15" hidden="false" customHeight="false" outlineLevel="0" collapsed="false">
      <c r="A2" s="2" t="s">
        <v>1186</v>
      </c>
    </row>
    <row r="4" customFormat="false" ht="30" hidden="false" customHeight="true" outlineLevel="0" collapsed="false">
      <c r="A4" s="3" t="s">
        <v>1187</v>
      </c>
      <c r="B4" s="3" t="s">
        <v>1188</v>
      </c>
      <c r="C4" s="3" t="s">
        <v>1189</v>
      </c>
      <c r="D4" s="3" t="s">
        <v>1190</v>
      </c>
      <c r="E4" s="3" t="s">
        <v>1191</v>
      </c>
      <c r="F4" s="3" t="s">
        <v>1192</v>
      </c>
    </row>
    <row r="5" customFormat="false" ht="55.5" hidden="false" customHeight="true" outlineLevel="0" collapsed="false">
      <c r="A5" s="4" t="n">
        <v>1</v>
      </c>
      <c r="B5" s="4" t="s">
        <v>1193</v>
      </c>
      <c r="C5" s="4" t="s">
        <v>1194</v>
      </c>
      <c r="D5" s="4" t="s">
        <v>1195</v>
      </c>
      <c r="E5" s="4"/>
      <c r="F5" s="4"/>
    </row>
    <row r="6" customFormat="false" ht="55.5" hidden="false" customHeight="true" outlineLevel="0" collapsed="false">
      <c r="A6" s="5" t="n">
        <v>2</v>
      </c>
      <c r="B6" s="5" t="s">
        <v>1193</v>
      </c>
      <c r="C6" s="5" t="s">
        <v>1196</v>
      </c>
      <c r="D6" s="5" t="s">
        <v>1195</v>
      </c>
      <c r="E6" s="5" t="s">
        <v>1197</v>
      </c>
      <c r="F6" s="5"/>
    </row>
    <row r="7" customFormat="false" ht="55.5" hidden="false" customHeight="true" outlineLevel="0" collapsed="false">
      <c r="A7" s="4" t="n">
        <v>3</v>
      </c>
      <c r="B7" s="4" t="s">
        <v>1193</v>
      </c>
      <c r="C7" s="4" t="s">
        <v>1198</v>
      </c>
      <c r="D7" s="4" t="s">
        <v>1195</v>
      </c>
      <c r="E7" s="4"/>
      <c r="F7" s="4"/>
    </row>
    <row r="8" customFormat="false" ht="55.5" hidden="false" customHeight="true" outlineLevel="0" collapsed="false">
      <c r="A8" s="5" t="n">
        <v>4</v>
      </c>
      <c r="B8" s="5" t="s">
        <v>1193</v>
      </c>
      <c r="C8" s="5" t="s">
        <v>1199</v>
      </c>
      <c r="D8" s="5" t="s">
        <v>1195</v>
      </c>
      <c r="E8" s="5"/>
      <c r="F8" s="5"/>
    </row>
    <row r="9" customFormat="false" ht="55.5" hidden="false" customHeight="true" outlineLevel="0" collapsed="false">
      <c r="A9" s="4" t="n">
        <v>5</v>
      </c>
      <c r="B9" s="4" t="s">
        <v>1193</v>
      </c>
      <c r="C9" s="4" t="s">
        <v>1200</v>
      </c>
      <c r="D9" s="4" t="s">
        <v>1195</v>
      </c>
      <c r="E9" s="4"/>
      <c r="F9" s="4"/>
    </row>
    <row r="10" customFormat="false" ht="55.5" hidden="false" customHeight="true" outlineLevel="0" collapsed="false">
      <c r="A10" s="5" t="n">
        <v>6</v>
      </c>
      <c r="B10" s="5" t="s">
        <v>1193</v>
      </c>
      <c r="C10" s="5" t="s">
        <v>1201</v>
      </c>
      <c r="D10" s="5" t="s">
        <v>1195</v>
      </c>
      <c r="E10" s="5" t="s">
        <v>1202</v>
      </c>
      <c r="F10" s="5"/>
    </row>
    <row r="11" customFormat="false" ht="55.5" hidden="false" customHeight="true" outlineLevel="0" collapsed="false">
      <c r="A11" s="4" t="n">
        <v>7</v>
      </c>
      <c r="B11" s="4" t="s">
        <v>1193</v>
      </c>
      <c r="C11" s="4" t="s">
        <v>1203</v>
      </c>
      <c r="D11" s="4" t="s">
        <v>1195</v>
      </c>
      <c r="E11" s="4"/>
      <c r="F11" s="4"/>
    </row>
    <row r="12" customFormat="false" ht="55.5" hidden="false" customHeight="true" outlineLevel="0" collapsed="false">
      <c r="A12" s="5" t="n">
        <v>8</v>
      </c>
      <c r="B12" s="5" t="s">
        <v>1204</v>
      </c>
      <c r="C12" s="5" t="s">
        <v>1205</v>
      </c>
      <c r="D12" s="5" t="s">
        <v>862</v>
      </c>
      <c r="E12" s="5"/>
      <c r="F12" s="5"/>
    </row>
    <row r="13" customFormat="false" ht="55.5" hidden="false" customHeight="true" outlineLevel="0" collapsed="false">
      <c r="A13" s="4" t="n">
        <v>9</v>
      </c>
      <c r="B13" s="4" t="s">
        <v>1204</v>
      </c>
      <c r="C13" s="4" t="s">
        <v>1206</v>
      </c>
      <c r="D13" s="4" t="s">
        <v>862</v>
      </c>
      <c r="E13" s="4" t="s">
        <v>1207</v>
      </c>
      <c r="F13" s="4" t="s">
        <v>1208</v>
      </c>
    </row>
    <row r="14" customFormat="false" ht="55.5" hidden="false" customHeight="true" outlineLevel="0" collapsed="false">
      <c r="A14" s="5" t="n">
        <v>10</v>
      </c>
      <c r="B14" s="5" t="s">
        <v>1204</v>
      </c>
      <c r="C14" s="5" t="s">
        <v>1209</v>
      </c>
      <c r="D14" s="5" t="s">
        <v>862</v>
      </c>
      <c r="E14" s="5"/>
      <c r="F14" s="5"/>
    </row>
    <row r="15" customFormat="false" ht="55.5" hidden="false" customHeight="true" outlineLevel="0" collapsed="false">
      <c r="A15" s="4" t="n">
        <v>11</v>
      </c>
      <c r="B15" s="4" t="s">
        <v>1204</v>
      </c>
      <c r="C15" s="4" t="s">
        <v>1210</v>
      </c>
      <c r="D15" s="4" t="s">
        <v>862</v>
      </c>
      <c r="E15" s="4"/>
      <c r="F15" s="4"/>
    </row>
    <row r="16" customFormat="false" ht="55.5" hidden="false" customHeight="true" outlineLevel="0" collapsed="false">
      <c r="A16" s="5" t="n">
        <v>12</v>
      </c>
      <c r="B16" s="5" t="s">
        <v>1204</v>
      </c>
      <c r="C16" s="5" t="s">
        <v>1211</v>
      </c>
      <c r="D16" s="5" t="s">
        <v>190</v>
      </c>
      <c r="E16" s="5"/>
      <c r="F16" s="5"/>
    </row>
    <row r="17" customFormat="false" ht="55.5" hidden="false" customHeight="true" outlineLevel="0" collapsed="false">
      <c r="A17" s="4" t="n">
        <v>13</v>
      </c>
      <c r="B17" s="4" t="s">
        <v>1204</v>
      </c>
      <c r="C17" s="4" t="s">
        <v>1212</v>
      </c>
      <c r="D17" s="4" t="s">
        <v>868</v>
      </c>
      <c r="E17" s="4" t="s">
        <v>1213</v>
      </c>
      <c r="F17" s="4" t="s">
        <v>1214</v>
      </c>
    </row>
    <row r="18" customFormat="false" ht="55.5" hidden="false" customHeight="true" outlineLevel="0" collapsed="false">
      <c r="A18" s="5" t="n">
        <v>14</v>
      </c>
      <c r="B18" s="5" t="s">
        <v>1204</v>
      </c>
      <c r="C18" s="5" t="s">
        <v>1215</v>
      </c>
      <c r="D18" s="5" t="s">
        <v>868</v>
      </c>
      <c r="E18" s="5"/>
      <c r="F18" s="5"/>
    </row>
    <row r="19" customFormat="false" ht="55.5" hidden="false" customHeight="true" outlineLevel="0" collapsed="false">
      <c r="A19" s="4" t="n">
        <v>15</v>
      </c>
      <c r="B19" s="4" t="s">
        <v>1204</v>
      </c>
      <c r="C19" s="4" t="s">
        <v>1216</v>
      </c>
      <c r="D19" s="4" t="s">
        <v>1217</v>
      </c>
      <c r="E19" s="4"/>
      <c r="F19" s="4"/>
    </row>
    <row r="20" customFormat="false" ht="55.5" hidden="false" customHeight="true" outlineLevel="0" collapsed="false">
      <c r="A20" s="5" t="n">
        <v>16</v>
      </c>
      <c r="B20" s="5" t="s">
        <v>1204</v>
      </c>
      <c r="C20" s="5" t="s">
        <v>1218</v>
      </c>
      <c r="D20" s="5" t="s">
        <v>193</v>
      </c>
      <c r="E20" s="5"/>
      <c r="F20" s="5"/>
    </row>
    <row r="21" customFormat="false" ht="55.5" hidden="false" customHeight="true" outlineLevel="0" collapsed="false">
      <c r="A21" s="4" t="n">
        <v>17</v>
      </c>
      <c r="B21" s="4" t="s">
        <v>1219</v>
      </c>
      <c r="C21" s="4" t="s">
        <v>1220</v>
      </c>
      <c r="D21" s="4" t="s">
        <v>1221</v>
      </c>
      <c r="E21" s="4" t="s">
        <v>1222</v>
      </c>
      <c r="F21" s="4"/>
    </row>
    <row r="22" customFormat="false" ht="55.5" hidden="false" customHeight="true" outlineLevel="0" collapsed="false">
      <c r="A22" s="5" t="n">
        <v>18</v>
      </c>
      <c r="B22" s="5" t="s">
        <v>1219</v>
      </c>
      <c r="C22" s="5" t="s">
        <v>1223</v>
      </c>
      <c r="D22" s="5" t="s">
        <v>955</v>
      </c>
      <c r="E22" s="5"/>
      <c r="F22" s="5"/>
    </row>
    <row r="23" customFormat="false" ht="55.5" hidden="false" customHeight="true" outlineLevel="0" collapsed="false">
      <c r="A23" s="4" t="n">
        <v>19</v>
      </c>
      <c r="B23" s="4" t="s">
        <v>1219</v>
      </c>
      <c r="C23" s="4" t="s">
        <v>1224</v>
      </c>
      <c r="D23" s="4" t="s">
        <v>955</v>
      </c>
      <c r="E23" s="4"/>
      <c r="F23" s="4"/>
    </row>
    <row r="24" customFormat="false" ht="55.5" hidden="false" customHeight="true" outlineLevel="0" collapsed="false">
      <c r="A24" s="5" t="n">
        <v>20</v>
      </c>
      <c r="B24" s="5" t="s">
        <v>1219</v>
      </c>
      <c r="C24" s="5" t="s">
        <v>1225</v>
      </c>
      <c r="D24" s="5" t="s">
        <v>955</v>
      </c>
      <c r="E24" s="5"/>
      <c r="F24" s="5"/>
    </row>
    <row r="25" customFormat="false" ht="55.5" hidden="false" customHeight="true" outlineLevel="0" collapsed="false">
      <c r="A25" s="4" t="n">
        <v>21</v>
      </c>
      <c r="B25" s="4" t="s">
        <v>1219</v>
      </c>
      <c r="C25" s="4" t="s">
        <v>1226</v>
      </c>
      <c r="D25" s="4" t="s">
        <v>955</v>
      </c>
      <c r="E25" s="4"/>
      <c r="F25" s="4"/>
    </row>
    <row r="26" customFormat="false" ht="55.5" hidden="false" customHeight="true" outlineLevel="0" collapsed="false">
      <c r="A26" s="5" t="n">
        <v>22</v>
      </c>
      <c r="B26" s="5" t="s">
        <v>1219</v>
      </c>
      <c r="C26" s="5" t="s">
        <v>1227</v>
      </c>
      <c r="D26" s="5" t="s">
        <v>882</v>
      </c>
      <c r="E26" s="5"/>
      <c r="F26" s="5"/>
    </row>
    <row r="27" customFormat="false" ht="55.5" hidden="false" customHeight="true" outlineLevel="0" collapsed="false">
      <c r="A27" s="4" t="n">
        <v>23</v>
      </c>
      <c r="B27" s="4" t="s">
        <v>1219</v>
      </c>
      <c r="C27" s="4" t="s">
        <v>1228</v>
      </c>
      <c r="D27" s="4" t="s">
        <v>882</v>
      </c>
      <c r="E27" s="4" t="s">
        <v>1229</v>
      </c>
      <c r="F27" s="4"/>
    </row>
    <row r="28" customFormat="false" ht="55.5" hidden="false" customHeight="true" outlineLevel="0" collapsed="false">
      <c r="A28" s="5" t="n">
        <v>24</v>
      </c>
      <c r="B28" s="5" t="s">
        <v>1219</v>
      </c>
      <c r="C28" s="5" t="s">
        <v>1230</v>
      </c>
      <c r="D28" s="5" t="s">
        <v>1231</v>
      </c>
      <c r="E28" s="5"/>
      <c r="F28" s="5"/>
    </row>
    <row r="29" customFormat="false" ht="55.5" hidden="false" customHeight="true" outlineLevel="0" collapsed="false">
      <c r="A29" s="4" t="n">
        <v>25</v>
      </c>
      <c r="B29" s="4" t="s">
        <v>1219</v>
      </c>
      <c r="C29" s="4" t="s">
        <v>1232</v>
      </c>
      <c r="D29" s="4" t="s">
        <v>882</v>
      </c>
      <c r="E29" s="4"/>
      <c r="F29" s="4"/>
    </row>
    <row r="30" customFormat="false" ht="55.5" hidden="false" customHeight="true" outlineLevel="0" collapsed="false">
      <c r="A30" s="5" t="n">
        <v>26</v>
      </c>
      <c r="B30" s="5" t="s">
        <v>1219</v>
      </c>
      <c r="C30" s="5" t="s">
        <v>1233</v>
      </c>
      <c r="D30" s="5" t="s">
        <v>882</v>
      </c>
      <c r="E30" s="5"/>
      <c r="F30" s="5"/>
    </row>
    <row r="31" customFormat="false" ht="55.5" hidden="false" customHeight="true" outlineLevel="0" collapsed="false">
      <c r="A31" s="4" t="n">
        <v>27</v>
      </c>
      <c r="B31" s="4" t="s">
        <v>1219</v>
      </c>
      <c r="C31" s="4" t="s">
        <v>1234</v>
      </c>
      <c r="D31" s="4" t="s">
        <v>1235</v>
      </c>
      <c r="E31" s="4"/>
      <c r="F31" s="4" t="s">
        <v>1236</v>
      </c>
    </row>
    <row r="32" customFormat="false" ht="55.5" hidden="false" customHeight="true" outlineLevel="0" collapsed="false">
      <c r="A32" s="5" t="n">
        <v>28</v>
      </c>
      <c r="B32" s="5" t="s">
        <v>1219</v>
      </c>
      <c r="C32" s="5" t="s">
        <v>1237</v>
      </c>
      <c r="D32" s="5" t="s">
        <v>874</v>
      </c>
      <c r="E32" s="5"/>
      <c r="F32" s="5"/>
    </row>
    <row r="33" customFormat="false" ht="55.5" hidden="false" customHeight="true" outlineLevel="0" collapsed="false">
      <c r="A33" s="4" t="n">
        <v>29</v>
      </c>
      <c r="B33" s="4" t="s">
        <v>1219</v>
      </c>
      <c r="C33" s="4" t="s">
        <v>1238</v>
      </c>
      <c r="D33" s="4" t="s">
        <v>874</v>
      </c>
      <c r="E33" s="4"/>
      <c r="F33" s="4" t="s">
        <v>1239</v>
      </c>
    </row>
    <row r="34" customFormat="false" ht="55.5" hidden="false" customHeight="true" outlineLevel="0" collapsed="false">
      <c r="A34" s="5" t="n">
        <v>30</v>
      </c>
      <c r="B34" s="5" t="s">
        <v>1219</v>
      </c>
      <c r="C34" s="5" t="s">
        <v>1240</v>
      </c>
      <c r="D34" s="5" t="s">
        <v>963</v>
      </c>
      <c r="E34" s="5"/>
      <c r="F34" s="5"/>
    </row>
    <row r="35" customFormat="false" ht="55.5" hidden="false" customHeight="true" outlineLevel="0" collapsed="false">
      <c r="A35" s="4" t="n">
        <v>31</v>
      </c>
      <c r="B35" s="4" t="s">
        <v>1219</v>
      </c>
      <c r="C35" s="4" t="s">
        <v>1241</v>
      </c>
      <c r="D35" s="4" t="s">
        <v>963</v>
      </c>
      <c r="E35" s="4"/>
      <c r="F35" s="4"/>
    </row>
    <row r="36" customFormat="false" ht="55.5" hidden="false" customHeight="true" outlineLevel="0" collapsed="false">
      <c r="A36" s="5" t="n">
        <v>32</v>
      </c>
      <c r="B36" s="5" t="s">
        <v>1242</v>
      </c>
      <c r="C36" s="5" t="s">
        <v>1243</v>
      </c>
      <c r="D36" s="5" t="s">
        <v>890</v>
      </c>
      <c r="E36" s="5" t="s">
        <v>1244</v>
      </c>
      <c r="F36" s="5"/>
    </row>
    <row r="37" customFormat="false" ht="55.5" hidden="false" customHeight="true" outlineLevel="0" collapsed="false">
      <c r="A37" s="4" t="n">
        <v>33</v>
      </c>
      <c r="B37" s="4" t="s">
        <v>1242</v>
      </c>
      <c r="C37" s="4" t="s">
        <v>1245</v>
      </c>
      <c r="D37" s="4" t="s">
        <v>200</v>
      </c>
      <c r="E37" s="4"/>
      <c r="F37" s="4"/>
    </row>
    <row r="38" customFormat="false" ht="55.5" hidden="false" customHeight="true" outlineLevel="0" collapsed="false">
      <c r="A38" s="5" t="n">
        <v>34</v>
      </c>
      <c r="B38" s="5" t="s">
        <v>1242</v>
      </c>
      <c r="C38" s="5" t="s">
        <v>1246</v>
      </c>
      <c r="D38" s="5" t="s">
        <v>939</v>
      </c>
      <c r="E38" s="5"/>
      <c r="F38" s="5"/>
    </row>
    <row r="39" customFormat="false" ht="55.5" hidden="false" customHeight="true" outlineLevel="0" collapsed="false">
      <c r="A39" s="4" t="n">
        <v>35</v>
      </c>
      <c r="B39" s="4" t="s">
        <v>1242</v>
      </c>
      <c r="C39" s="4" t="s">
        <v>1247</v>
      </c>
      <c r="D39" s="4" t="s">
        <v>890</v>
      </c>
      <c r="E39" s="4"/>
      <c r="F39" s="4"/>
    </row>
    <row r="40" customFormat="false" ht="55.5" hidden="false" customHeight="true" outlineLevel="0" collapsed="false">
      <c r="A40" s="5" t="n">
        <v>36</v>
      </c>
      <c r="B40" s="5" t="s">
        <v>1242</v>
      </c>
      <c r="C40" s="5" t="s">
        <v>1248</v>
      </c>
      <c r="D40" s="5" t="s">
        <v>897</v>
      </c>
      <c r="E40" s="5" t="s">
        <v>1249</v>
      </c>
      <c r="F40" s="5"/>
    </row>
    <row r="41" customFormat="false" ht="55.5" hidden="false" customHeight="true" outlineLevel="0" collapsed="false">
      <c r="A41" s="4" t="n">
        <v>37</v>
      </c>
      <c r="B41" s="4" t="s">
        <v>1242</v>
      </c>
      <c r="C41" s="4" t="s">
        <v>1250</v>
      </c>
      <c r="D41" s="4" t="s">
        <v>897</v>
      </c>
      <c r="E41" s="4"/>
      <c r="F41" s="4" t="s">
        <v>1251</v>
      </c>
    </row>
    <row r="42" customFormat="false" ht="55.5" hidden="false" customHeight="true" outlineLevel="0" collapsed="false">
      <c r="A42" s="5" t="n">
        <v>38</v>
      </c>
      <c r="B42" s="5" t="s">
        <v>1242</v>
      </c>
      <c r="C42" s="5" t="s">
        <v>1252</v>
      </c>
      <c r="D42" s="5" t="s">
        <v>903</v>
      </c>
      <c r="E42" s="5"/>
      <c r="F42" s="5"/>
    </row>
    <row r="43" customFormat="false" ht="55.5" hidden="false" customHeight="true" outlineLevel="0" collapsed="false">
      <c r="A43" s="4" t="n">
        <v>39</v>
      </c>
      <c r="B43" s="4" t="s">
        <v>1242</v>
      </c>
      <c r="C43" s="4" t="s">
        <v>1253</v>
      </c>
      <c r="D43" s="4" t="s">
        <v>903</v>
      </c>
      <c r="E43" s="4" t="s">
        <v>1254</v>
      </c>
      <c r="F43" s="4"/>
    </row>
    <row r="44" customFormat="false" ht="55.5" hidden="false" customHeight="true" outlineLevel="0" collapsed="false">
      <c r="A44" s="5" t="n">
        <v>40</v>
      </c>
      <c r="B44" s="5" t="s">
        <v>1242</v>
      </c>
      <c r="C44" s="5" t="s">
        <v>1255</v>
      </c>
      <c r="D44" s="5" t="s">
        <v>910</v>
      </c>
      <c r="E44" s="5"/>
      <c r="F44" s="5"/>
    </row>
    <row r="45" customFormat="false" ht="55.5" hidden="false" customHeight="true" outlineLevel="0" collapsed="false">
      <c r="A45" s="4" t="n">
        <v>41</v>
      </c>
      <c r="B45" s="4" t="s">
        <v>1242</v>
      </c>
      <c r="C45" s="4" t="s">
        <v>1256</v>
      </c>
      <c r="D45" s="4" t="s">
        <v>910</v>
      </c>
      <c r="E45" s="4"/>
      <c r="F45" s="4"/>
    </row>
    <row r="46" customFormat="false" ht="55.5" hidden="false" customHeight="true" outlineLevel="0" collapsed="false">
      <c r="A46" s="5" t="n">
        <v>42</v>
      </c>
      <c r="B46" s="5" t="s">
        <v>1242</v>
      </c>
      <c r="C46" s="5" t="s">
        <v>1257</v>
      </c>
      <c r="D46" s="5" t="s">
        <v>910</v>
      </c>
      <c r="E46" s="5" t="s">
        <v>1258</v>
      </c>
      <c r="F46" s="5"/>
    </row>
    <row r="47" customFormat="false" ht="55.5" hidden="false" customHeight="true" outlineLevel="0" collapsed="false">
      <c r="A47" s="4" t="n">
        <v>43</v>
      </c>
      <c r="B47" s="4" t="s">
        <v>1259</v>
      </c>
      <c r="C47" s="4" t="s">
        <v>1260</v>
      </c>
      <c r="D47" s="4" t="s">
        <v>918</v>
      </c>
      <c r="E47" s="4" t="s">
        <v>1261</v>
      </c>
      <c r="F47" s="4"/>
    </row>
    <row r="48" customFormat="false" ht="55.5" hidden="false" customHeight="true" outlineLevel="0" collapsed="false">
      <c r="A48" s="5" t="n">
        <v>44</v>
      </c>
      <c r="B48" s="5" t="s">
        <v>1259</v>
      </c>
      <c r="C48" s="5" t="s">
        <v>1262</v>
      </c>
      <c r="D48" s="5" t="s">
        <v>918</v>
      </c>
      <c r="E48" s="5"/>
      <c r="F48" s="5"/>
    </row>
    <row r="49" customFormat="false" ht="55.5" hidden="false" customHeight="true" outlineLevel="0" collapsed="false">
      <c r="A49" s="4" t="n">
        <v>45</v>
      </c>
      <c r="B49" s="4" t="s">
        <v>1259</v>
      </c>
      <c r="C49" s="4" t="s">
        <v>1263</v>
      </c>
      <c r="D49" s="4" t="s">
        <v>204</v>
      </c>
      <c r="E49" s="4"/>
      <c r="F49" s="4"/>
    </row>
    <row r="50" customFormat="false" ht="55.5" hidden="false" customHeight="true" outlineLevel="0" collapsed="false">
      <c r="A50" s="5" t="n">
        <v>46</v>
      </c>
      <c r="B50" s="5" t="s">
        <v>1259</v>
      </c>
      <c r="C50" s="5" t="s">
        <v>1264</v>
      </c>
      <c r="D50" s="5" t="s">
        <v>204</v>
      </c>
      <c r="E50" s="5"/>
      <c r="F50" s="5"/>
    </row>
    <row r="51" customFormat="false" ht="55.5" hidden="false" customHeight="true" outlineLevel="0" collapsed="false">
      <c r="A51" s="4" t="n">
        <v>47</v>
      </c>
      <c r="B51" s="4" t="s">
        <v>1259</v>
      </c>
      <c r="C51" s="4" t="s">
        <v>1265</v>
      </c>
      <c r="D51" s="4" t="s">
        <v>1266</v>
      </c>
      <c r="E51" s="4"/>
      <c r="F51" s="4" t="s">
        <v>1267</v>
      </c>
    </row>
    <row r="52" customFormat="false" ht="55.5" hidden="false" customHeight="true" outlineLevel="0" collapsed="false">
      <c r="A52" s="5" t="n">
        <v>48</v>
      </c>
      <c r="B52" s="5" t="s">
        <v>1259</v>
      </c>
      <c r="C52" s="5" t="s">
        <v>1268</v>
      </c>
      <c r="D52" s="5" t="s">
        <v>933</v>
      </c>
      <c r="E52" s="5" t="s">
        <v>1269</v>
      </c>
      <c r="F52" s="5"/>
    </row>
    <row r="53" customFormat="false" ht="55.5" hidden="false" customHeight="true" outlineLevel="0" collapsed="false">
      <c r="A53" s="4" t="n">
        <v>49</v>
      </c>
      <c r="B53" s="4" t="s">
        <v>1259</v>
      </c>
      <c r="C53" s="4" t="s">
        <v>1270</v>
      </c>
      <c r="D53" s="4" t="s">
        <v>933</v>
      </c>
      <c r="E53" s="4"/>
      <c r="F53" s="4"/>
    </row>
    <row r="54" customFormat="false" ht="55.5" hidden="false" customHeight="true" outlineLevel="0" collapsed="false">
      <c r="A54" s="5" t="n">
        <v>50</v>
      </c>
      <c r="B54" s="5" t="s">
        <v>1271</v>
      </c>
      <c r="C54" s="5" t="s">
        <v>1272</v>
      </c>
      <c r="D54" s="5" t="s">
        <v>196</v>
      </c>
      <c r="E54" s="5" t="s">
        <v>1273</v>
      </c>
      <c r="F54" s="5"/>
    </row>
    <row r="55" customFormat="false" ht="55.5" hidden="false" customHeight="true" outlineLevel="0" collapsed="false">
      <c r="A55" s="4" t="n">
        <v>51</v>
      </c>
      <c r="B55" s="4" t="s">
        <v>1271</v>
      </c>
      <c r="C55" s="4" t="s">
        <v>1274</v>
      </c>
      <c r="D55" s="4" t="s">
        <v>196</v>
      </c>
      <c r="E55" s="4"/>
      <c r="F55" s="4"/>
    </row>
    <row r="56" customFormat="false" ht="55.5" hidden="false" customHeight="true" outlineLevel="0" collapsed="false">
      <c r="A56" s="5" t="n">
        <v>52</v>
      </c>
      <c r="B56" s="5" t="s">
        <v>1271</v>
      </c>
      <c r="C56" s="5" t="s">
        <v>1275</v>
      </c>
      <c r="D56" s="5" t="s">
        <v>196</v>
      </c>
      <c r="E56" s="5"/>
      <c r="F56" s="5"/>
    </row>
    <row r="57" customFormat="false" ht="55.5" hidden="false" customHeight="true" outlineLevel="0" collapsed="false">
      <c r="A57" s="4" t="n">
        <v>53</v>
      </c>
      <c r="B57" s="4" t="s">
        <v>1271</v>
      </c>
      <c r="C57" s="4" t="s">
        <v>1276</v>
      </c>
      <c r="D57" s="4" t="s">
        <v>196</v>
      </c>
      <c r="E57" s="4"/>
      <c r="F57" s="4"/>
    </row>
    <row r="58" customFormat="false" ht="55.5" hidden="false" customHeight="true" outlineLevel="0" collapsed="false">
      <c r="A58" s="5" t="n">
        <v>54</v>
      </c>
      <c r="B58" s="5" t="s">
        <v>1271</v>
      </c>
      <c r="C58" s="5" t="s">
        <v>1277</v>
      </c>
      <c r="D58" s="5" t="s">
        <v>196</v>
      </c>
      <c r="E58" s="5"/>
      <c r="F58" s="5" t="s">
        <v>1278</v>
      </c>
    </row>
    <row r="59" customFormat="false" ht="55.5" hidden="false" customHeight="true" outlineLevel="0" collapsed="false">
      <c r="A59" s="4" t="n">
        <v>55</v>
      </c>
      <c r="B59" s="4" t="s">
        <v>1279</v>
      </c>
      <c r="C59" s="4" t="s">
        <v>1280</v>
      </c>
      <c r="D59" s="4" t="s">
        <v>206</v>
      </c>
      <c r="E59" s="4" t="s">
        <v>1281</v>
      </c>
      <c r="F59" s="4"/>
    </row>
    <row r="60" customFormat="false" ht="55.5" hidden="false" customHeight="true" outlineLevel="0" collapsed="false">
      <c r="A60" s="5" t="n">
        <v>56</v>
      </c>
      <c r="B60" s="5" t="s">
        <v>1279</v>
      </c>
      <c r="C60" s="5" t="s">
        <v>1282</v>
      </c>
      <c r="D60" s="5" t="s">
        <v>206</v>
      </c>
      <c r="E60" s="5"/>
      <c r="F60" s="5"/>
    </row>
    <row r="61" customFormat="false" ht="55.5" hidden="false" customHeight="true" outlineLevel="0" collapsed="false">
      <c r="A61" s="4" t="n">
        <v>57</v>
      </c>
      <c r="B61" s="4" t="s">
        <v>1279</v>
      </c>
      <c r="C61" s="4" t="s">
        <v>1283</v>
      </c>
      <c r="D61" s="4" t="s">
        <v>206</v>
      </c>
      <c r="E61" s="4"/>
      <c r="F61" s="4"/>
    </row>
    <row r="62" customFormat="false" ht="55.5" hidden="false" customHeight="true" outlineLevel="0" collapsed="false">
      <c r="A62" s="5" t="n">
        <v>58</v>
      </c>
      <c r="B62" s="5" t="s">
        <v>1279</v>
      </c>
      <c r="C62" s="5" t="s">
        <v>1284</v>
      </c>
      <c r="D62" s="5" t="s">
        <v>206</v>
      </c>
      <c r="E62" s="5"/>
      <c r="F62" s="5"/>
    </row>
    <row r="63" customFormat="false" ht="55.5" hidden="false" customHeight="true" outlineLevel="0" collapsed="false">
      <c r="A63" s="4" t="n">
        <v>59</v>
      </c>
      <c r="B63" s="4" t="s">
        <v>1279</v>
      </c>
      <c r="C63" s="4" t="s">
        <v>1285</v>
      </c>
      <c r="D63" s="4" t="s">
        <v>209</v>
      </c>
      <c r="E63" s="4" t="s">
        <v>1286</v>
      </c>
      <c r="F63" s="4"/>
    </row>
    <row r="64" customFormat="false" ht="55.5" hidden="false" customHeight="true" outlineLevel="0" collapsed="false">
      <c r="A64" s="5" t="n">
        <v>60</v>
      </c>
      <c r="B64" s="5" t="s">
        <v>1279</v>
      </c>
      <c r="C64" s="5" t="s">
        <v>1287</v>
      </c>
      <c r="D64" s="5" t="s">
        <v>209</v>
      </c>
      <c r="E64" s="5"/>
      <c r="F64" s="5"/>
    </row>
    <row r="65" customFormat="false" ht="55.5" hidden="false" customHeight="true" outlineLevel="0" collapsed="false">
      <c r="A65" s="4" t="n">
        <v>61</v>
      </c>
      <c r="B65" s="4" t="s">
        <v>1279</v>
      </c>
      <c r="C65" s="4" t="s">
        <v>1288</v>
      </c>
      <c r="D65" s="4" t="s">
        <v>209</v>
      </c>
      <c r="E65" s="4"/>
      <c r="F65" s="4"/>
    </row>
    <row r="66" customFormat="false" ht="55.5" hidden="false" customHeight="true" outlineLevel="0" collapsed="false">
      <c r="A66" s="5" t="n">
        <v>62</v>
      </c>
      <c r="B66" s="5" t="s">
        <v>1279</v>
      </c>
      <c r="C66" s="5" t="s">
        <v>1289</v>
      </c>
      <c r="D66" s="5" t="s">
        <v>1290</v>
      </c>
      <c r="E66" s="5"/>
      <c r="F66" s="5"/>
    </row>
    <row r="67" customFormat="false" ht="55.5" hidden="false" customHeight="true" outlineLevel="0" collapsed="false">
      <c r="A67" s="4" t="n">
        <v>63</v>
      </c>
      <c r="B67" s="4" t="s">
        <v>1279</v>
      </c>
      <c r="C67" s="4" t="s">
        <v>1291</v>
      </c>
      <c r="D67" s="4" t="s">
        <v>212</v>
      </c>
      <c r="E67" s="4" t="s">
        <v>1292</v>
      </c>
      <c r="F67" s="4"/>
    </row>
    <row r="68" customFormat="false" ht="55.5" hidden="false" customHeight="true" outlineLevel="0" collapsed="false">
      <c r="A68" s="5" t="n">
        <v>64</v>
      </c>
      <c r="B68" s="5" t="s">
        <v>1279</v>
      </c>
      <c r="C68" s="5" t="s">
        <v>1293</v>
      </c>
      <c r="D68" s="5" t="s">
        <v>212</v>
      </c>
      <c r="E68" s="5"/>
      <c r="F68" s="5"/>
    </row>
    <row r="69" customFormat="false" ht="55.5" hidden="false" customHeight="true" outlineLevel="0" collapsed="false">
      <c r="A69" s="4" t="n">
        <v>65</v>
      </c>
      <c r="B69" s="4" t="s">
        <v>1294</v>
      </c>
      <c r="C69" s="4" t="s">
        <v>1295</v>
      </c>
      <c r="D69" s="4" t="s">
        <v>214</v>
      </c>
      <c r="E69" s="4"/>
      <c r="F69" s="4"/>
    </row>
    <row r="70" customFormat="false" ht="55.5" hidden="false" customHeight="true" outlineLevel="0" collapsed="false">
      <c r="A70" s="5" t="n">
        <v>66</v>
      </c>
      <c r="B70" s="5" t="s">
        <v>1294</v>
      </c>
      <c r="C70" s="5" t="s">
        <v>1296</v>
      </c>
      <c r="D70" s="5" t="s">
        <v>214</v>
      </c>
      <c r="E70" s="5"/>
      <c r="F70" s="5"/>
    </row>
    <row r="71" customFormat="false" ht="55.5" hidden="false" customHeight="true" outlineLevel="0" collapsed="false">
      <c r="A71" s="4" t="n">
        <v>67</v>
      </c>
      <c r="B71" s="4" t="s">
        <v>1294</v>
      </c>
      <c r="C71" s="4" t="s">
        <v>1297</v>
      </c>
      <c r="D71" s="4" t="s">
        <v>214</v>
      </c>
      <c r="E71" s="4" t="s">
        <v>1298</v>
      </c>
      <c r="F71" s="4"/>
    </row>
    <row r="72" customFormat="false" ht="55.5" hidden="false" customHeight="true" outlineLevel="0" collapsed="false">
      <c r="A72" s="5" t="n">
        <v>68</v>
      </c>
      <c r="B72" s="5" t="s">
        <v>1294</v>
      </c>
      <c r="C72" s="5" t="s">
        <v>1299</v>
      </c>
      <c r="D72" s="5" t="s">
        <v>1004</v>
      </c>
      <c r="E72" s="5" t="s">
        <v>1300</v>
      </c>
      <c r="F72" s="5"/>
    </row>
    <row r="73" customFormat="false" ht="55.5" hidden="false" customHeight="true" outlineLevel="0" collapsed="false">
      <c r="A73" s="4" t="n">
        <v>69</v>
      </c>
      <c r="B73" s="4" t="s">
        <v>1294</v>
      </c>
      <c r="C73" s="4" t="s">
        <v>1301</v>
      </c>
      <c r="D73" s="4" t="s">
        <v>1004</v>
      </c>
      <c r="E73" s="4"/>
      <c r="F73" s="4"/>
    </row>
    <row r="74" customFormat="false" ht="55.5" hidden="false" customHeight="true" outlineLevel="0" collapsed="false">
      <c r="A74" s="5" t="n">
        <v>70</v>
      </c>
      <c r="B74" s="5" t="s">
        <v>1294</v>
      </c>
      <c r="C74" s="5" t="s">
        <v>1302</v>
      </c>
      <c r="D74" s="5" t="s">
        <v>1303</v>
      </c>
      <c r="E74" s="5"/>
      <c r="F74" s="5"/>
    </row>
    <row r="75" customFormat="false" ht="55.5" hidden="false" customHeight="true" outlineLevel="0" collapsed="false">
      <c r="A75" s="4" t="n">
        <v>71</v>
      </c>
      <c r="B75" s="4" t="s">
        <v>1294</v>
      </c>
      <c r="C75" s="4" t="s">
        <v>1304</v>
      </c>
      <c r="D75" s="4" t="s">
        <v>1004</v>
      </c>
      <c r="E75" s="4"/>
      <c r="F75" s="4" t="s">
        <v>1305</v>
      </c>
    </row>
    <row r="76" customFormat="false" ht="55.5" hidden="false" customHeight="true" outlineLevel="0" collapsed="false">
      <c r="A76" s="5" t="n">
        <v>72</v>
      </c>
      <c r="B76" s="5" t="s">
        <v>1294</v>
      </c>
      <c r="C76" s="5" t="s">
        <v>1306</v>
      </c>
      <c r="D76" s="5" t="s">
        <v>217</v>
      </c>
      <c r="E76" s="5" t="s">
        <v>1307</v>
      </c>
      <c r="F76" s="5"/>
    </row>
    <row r="77" customFormat="false" ht="55.5" hidden="false" customHeight="true" outlineLevel="0" collapsed="false">
      <c r="A77" s="4" t="n">
        <v>73</v>
      </c>
      <c r="B77" s="4" t="s">
        <v>1294</v>
      </c>
      <c r="C77" s="4" t="s">
        <v>1308</v>
      </c>
      <c r="D77" s="4" t="s">
        <v>217</v>
      </c>
      <c r="E77" s="4"/>
      <c r="F77" s="4"/>
    </row>
    <row r="78" customFormat="false" ht="55.5" hidden="false" customHeight="true" outlineLevel="0" collapsed="false">
      <c r="A78" s="5" t="n">
        <v>74</v>
      </c>
      <c r="B78" s="5" t="s">
        <v>1294</v>
      </c>
      <c r="C78" s="5" t="s">
        <v>1309</v>
      </c>
      <c r="D78" s="5" t="s">
        <v>1310</v>
      </c>
      <c r="E78" s="5"/>
      <c r="F78" s="5"/>
    </row>
    <row r="79" customFormat="false" ht="55.5" hidden="false" customHeight="true" outlineLevel="0" collapsed="false">
      <c r="A79" s="4" t="n">
        <v>75</v>
      </c>
      <c r="B79" s="4" t="s">
        <v>1294</v>
      </c>
      <c r="C79" s="4" t="s">
        <v>1311</v>
      </c>
      <c r="D79" s="4" t="s">
        <v>1312</v>
      </c>
      <c r="E79" s="4"/>
      <c r="F79" s="4"/>
    </row>
    <row r="80" customFormat="false" ht="55.5" hidden="false" customHeight="true" outlineLevel="0" collapsed="false">
      <c r="A80" s="5" t="n">
        <v>76</v>
      </c>
      <c r="B80" s="5" t="s">
        <v>1294</v>
      </c>
      <c r="C80" s="5" t="s">
        <v>1313</v>
      </c>
      <c r="D80" s="5" t="s">
        <v>220</v>
      </c>
      <c r="E80" s="5"/>
      <c r="F80" s="5"/>
    </row>
    <row r="81" customFormat="false" ht="55.5" hidden="false" customHeight="true" outlineLevel="0" collapsed="false">
      <c r="A81" s="4" t="n">
        <v>77</v>
      </c>
      <c r="B81" s="4" t="s">
        <v>1294</v>
      </c>
      <c r="C81" s="4" t="s">
        <v>1314</v>
      </c>
      <c r="D81" s="4" t="s">
        <v>220</v>
      </c>
      <c r="E81" s="4" t="s">
        <v>1315</v>
      </c>
      <c r="F81" s="4"/>
    </row>
    <row r="82" customFormat="false" ht="55.5" hidden="false" customHeight="true" outlineLevel="0" collapsed="false">
      <c r="A82" s="5" t="n">
        <v>78</v>
      </c>
      <c r="B82" s="5" t="s">
        <v>1294</v>
      </c>
      <c r="C82" s="5" t="s">
        <v>1316</v>
      </c>
      <c r="D82" s="5" t="s">
        <v>1317</v>
      </c>
      <c r="E82" s="5"/>
      <c r="F82" s="5"/>
    </row>
    <row r="83" customFormat="false" ht="55.5" hidden="false" customHeight="true" outlineLevel="0" collapsed="false">
      <c r="A83" s="4" t="n">
        <v>79</v>
      </c>
      <c r="B83" s="4" t="s">
        <v>1318</v>
      </c>
      <c r="C83" s="4" t="s">
        <v>1319</v>
      </c>
      <c r="D83" s="4" t="s">
        <v>222</v>
      </c>
      <c r="E83" s="4"/>
      <c r="F83" s="4"/>
    </row>
    <row r="84" customFormat="false" ht="55.5" hidden="false" customHeight="true" outlineLevel="0" collapsed="false">
      <c r="A84" s="5" t="n">
        <v>80</v>
      </c>
      <c r="B84" s="5" t="s">
        <v>1318</v>
      </c>
      <c r="C84" s="5" t="s">
        <v>1320</v>
      </c>
      <c r="D84" s="5" t="s">
        <v>222</v>
      </c>
      <c r="E84" s="5" t="s">
        <v>1321</v>
      </c>
      <c r="F84" s="5"/>
    </row>
    <row r="85" customFormat="false" ht="55.5" hidden="false" customHeight="true" outlineLevel="0" collapsed="false">
      <c r="A85" s="4" t="n">
        <v>81</v>
      </c>
      <c r="B85" s="4" t="s">
        <v>1318</v>
      </c>
      <c r="C85" s="4" t="s">
        <v>1322</v>
      </c>
      <c r="D85" s="4" t="s">
        <v>224</v>
      </c>
      <c r="E85" s="4"/>
      <c r="F85" s="4"/>
    </row>
    <row r="86" customFormat="false" ht="55.5" hidden="false" customHeight="true" outlineLevel="0" collapsed="false">
      <c r="A86" s="5" t="n">
        <v>82</v>
      </c>
      <c r="B86" s="5" t="s">
        <v>1318</v>
      </c>
      <c r="C86" s="5" t="s">
        <v>1323</v>
      </c>
      <c r="D86" s="5" t="s">
        <v>224</v>
      </c>
      <c r="E86" s="5" t="s">
        <v>1324</v>
      </c>
      <c r="F86" s="5"/>
    </row>
    <row r="87" customFormat="false" ht="55.5" hidden="false" customHeight="true" outlineLevel="0" collapsed="false">
      <c r="A87" s="4" t="n">
        <v>83</v>
      </c>
      <c r="B87" s="4" t="s">
        <v>1318</v>
      </c>
      <c r="C87" s="4" t="s">
        <v>1325</v>
      </c>
      <c r="D87" s="4" t="s">
        <v>227</v>
      </c>
      <c r="E87" s="4" t="s">
        <v>1326</v>
      </c>
      <c r="F87" s="4"/>
    </row>
    <row r="88" customFormat="false" ht="55.5" hidden="false" customHeight="true" outlineLevel="0" collapsed="false">
      <c r="A88" s="5" t="n">
        <v>84</v>
      </c>
      <c r="B88" s="5" t="s">
        <v>1318</v>
      </c>
      <c r="C88" s="5" t="s">
        <v>1327</v>
      </c>
      <c r="D88" s="5" t="s">
        <v>227</v>
      </c>
      <c r="E88" s="5"/>
      <c r="F88" s="5"/>
    </row>
    <row r="89" customFormat="false" ht="55.5" hidden="false" customHeight="true" outlineLevel="0" collapsed="false">
      <c r="A89" s="4" t="n">
        <v>85</v>
      </c>
      <c r="B89" s="4" t="s">
        <v>1318</v>
      </c>
      <c r="C89" s="4" t="s">
        <v>1328</v>
      </c>
      <c r="D89" s="4" t="s">
        <v>229</v>
      </c>
      <c r="E89" s="4" t="s">
        <v>1329</v>
      </c>
      <c r="F89" s="4"/>
    </row>
    <row r="90" customFormat="false" ht="55.5" hidden="false" customHeight="true" outlineLevel="0" collapsed="false">
      <c r="A90" s="5" t="n">
        <v>86</v>
      </c>
      <c r="B90" s="5" t="s">
        <v>1318</v>
      </c>
      <c r="C90" s="5" t="s">
        <v>1330</v>
      </c>
      <c r="D90" s="5" t="s">
        <v>229</v>
      </c>
      <c r="E90" s="5"/>
      <c r="F90" s="5"/>
    </row>
    <row r="91" customFormat="false" ht="55.5" hidden="false" customHeight="true" outlineLevel="0" collapsed="false">
      <c r="A91" s="4" t="n">
        <v>87</v>
      </c>
      <c r="B91" s="4" t="s">
        <v>1318</v>
      </c>
      <c r="C91" s="4" t="s">
        <v>1331</v>
      </c>
      <c r="D91" s="4" t="s">
        <v>1332</v>
      </c>
      <c r="E91" s="4"/>
      <c r="F91" s="4" t="s">
        <v>1333</v>
      </c>
    </row>
    <row r="92" customFormat="false" ht="55.5" hidden="false" customHeight="true" outlineLevel="0" collapsed="false">
      <c r="A92" s="5" t="n">
        <v>88</v>
      </c>
      <c r="B92" s="5" t="s">
        <v>1334</v>
      </c>
      <c r="C92" s="5" t="s">
        <v>1335</v>
      </c>
      <c r="D92" s="5" t="s">
        <v>232</v>
      </c>
      <c r="E92" s="5" t="s">
        <v>1336</v>
      </c>
      <c r="F92" s="5"/>
    </row>
    <row r="93" customFormat="false" ht="55.5" hidden="false" customHeight="true" outlineLevel="0" collapsed="false">
      <c r="A93" s="4" t="n">
        <v>89</v>
      </c>
      <c r="B93" s="4" t="s">
        <v>1334</v>
      </c>
      <c r="C93" s="4" t="s">
        <v>1337</v>
      </c>
      <c r="D93" s="4" t="s">
        <v>232</v>
      </c>
      <c r="E93" s="4"/>
      <c r="F93" s="4"/>
    </row>
    <row r="94" customFormat="false" ht="55.5" hidden="false" customHeight="true" outlineLevel="0" collapsed="false">
      <c r="A94" s="5" t="n">
        <v>90</v>
      </c>
      <c r="B94" s="5" t="s">
        <v>1334</v>
      </c>
      <c r="C94" s="5" t="s">
        <v>1338</v>
      </c>
      <c r="D94" s="5" t="s">
        <v>232</v>
      </c>
      <c r="E94" s="5"/>
      <c r="F94" s="5"/>
    </row>
    <row r="95" customFormat="false" ht="55.5" hidden="false" customHeight="true" outlineLevel="0" collapsed="false">
      <c r="A95" s="4" t="n">
        <v>91</v>
      </c>
      <c r="B95" s="4" t="s">
        <v>1334</v>
      </c>
      <c r="C95" s="4" t="s">
        <v>1339</v>
      </c>
      <c r="D95" s="4" t="s">
        <v>234</v>
      </c>
      <c r="E95" s="4" t="s">
        <v>1340</v>
      </c>
      <c r="F95" s="4"/>
    </row>
    <row r="96" customFormat="false" ht="55.5" hidden="false" customHeight="true" outlineLevel="0" collapsed="false">
      <c r="A96" s="5" t="n">
        <v>92</v>
      </c>
      <c r="B96" s="5" t="s">
        <v>1334</v>
      </c>
      <c r="C96" s="5" t="s">
        <v>1341</v>
      </c>
      <c r="D96" s="5" t="s">
        <v>234</v>
      </c>
      <c r="E96" s="5"/>
      <c r="F96" s="5"/>
    </row>
    <row r="97" customFormat="false" ht="55.5" hidden="false" customHeight="true" outlineLevel="0" collapsed="false">
      <c r="A97" s="4" t="n">
        <v>93</v>
      </c>
      <c r="B97" s="4" t="s">
        <v>1334</v>
      </c>
      <c r="C97" s="4" t="s">
        <v>1342</v>
      </c>
      <c r="D97" s="4" t="s">
        <v>236</v>
      </c>
      <c r="E97" s="4" t="s">
        <v>1343</v>
      </c>
      <c r="F97" s="4"/>
    </row>
    <row r="98" customFormat="false" ht="55.5" hidden="false" customHeight="true" outlineLevel="0" collapsed="false">
      <c r="A98" s="5" t="n">
        <v>94</v>
      </c>
      <c r="B98" s="5" t="s">
        <v>1334</v>
      </c>
      <c r="C98" s="5" t="s">
        <v>1344</v>
      </c>
      <c r="D98" s="5" t="s">
        <v>236</v>
      </c>
      <c r="E98" s="5"/>
      <c r="F98" s="5"/>
    </row>
    <row r="99" customFormat="false" ht="55.5" hidden="false" customHeight="true" outlineLevel="0" collapsed="false">
      <c r="A99" s="4" t="n">
        <v>95</v>
      </c>
      <c r="B99" s="4" t="s">
        <v>1345</v>
      </c>
      <c r="C99" s="4" t="s">
        <v>1346</v>
      </c>
      <c r="D99" s="4" t="s">
        <v>1062</v>
      </c>
      <c r="E99" s="4" t="s">
        <v>1347</v>
      </c>
      <c r="F99" s="4"/>
    </row>
    <row r="100" customFormat="false" ht="55.5" hidden="false" customHeight="true" outlineLevel="0" collapsed="false">
      <c r="A100" s="5" t="n">
        <v>96</v>
      </c>
      <c r="B100" s="5" t="s">
        <v>1345</v>
      </c>
      <c r="C100" s="5" t="s">
        <v>1348</v>
      </c>
      <c r="D100" s="5" t="s">
        <v>1062</v>
      </c>
      <c r="E100" s="5"/>
      <c r="F100" s="5"/>
    </row>
    <row r="101" customFormat="false" ht="55.5" hidden="false" customHeight="true" outlineLevel="0" collapsed="false">
      <c r="A101" s="4" t="n">
        <v>97</v>
      </c>
      <c r="B101" s="4" t="s">
        <v>1345</v>
      </c>
      <c r="C101" s="4" t="s">
        <v>1349</v>
      </c>
      <c r="D101" s="4" t="s">
        <v>1062</v>
      </c>
      <c r="E101" s="4"/>
      <c r="F101" s="4"/>
    </row>
    <row r="102" customFormat="false" ht="55.5" hidden="false" customHeight="true" outlineLevel="0" collapsed="false">
      <c r="A102" s="5" t="n">
        <v>98</v>
      </c>
      <c r="B102" s="5" t="s">
        <v>1345</v>
      </c>
      <c r="C102" s="5" t="s">
        <v>1350</v>
      </c>
      <c r="D102" s="5" t="s">
        <v>242</v>
      </c>
      <c r="E102" s="5" t="s">
        <v>1351</v>
      </c>
      <c r="F102" s="5"/>
    </row>
    <row r="103" customFormat="false" ht="55.5" hidden="false" customHeight="true" outlineLevel="0" collapsed="false">
      <c r="A103" s="4" t="n">
        <v>99</v>
      </c>
      <c r="B103" s="4" t="s">
        <v>1345</v>
      </c>
      <c r="C103" s="4" t="s">
        <v>1352</v>
      </c>
      <c r="D103" s="4" t="s">
        <v>242</v>
      </c>
      <c r="E103" s="4"/>
      <c r="F103" s="4"/>
    </row>
    <row r="104" customFormat="false" ht="55.5" hidden="false" customHeight="true" outlineLevel="0" collapsed="false">
      <c r="A104" s="5" t="n">
        <v>100</v>
      </c>
      <c r="B104" s="5" t="s">
        <v>1345</v>
      </c>
      <c r="C104" s="5" t="s">
        <v>1353</v>
      </c>
      <c r="D104" s="5" t="s">
        <v>242</v>
      </c>
      <c r="E104" s="5" t="s">
        <v>1354</v>
      </c>
      <c r="F104" s="5"/>
    </row>
    <row r="105" customFormat="false" ht="55.5" hidden="false" customHeight="true" outlineLevel="0" collapsed="false">
      <c r="A105" s="4" t="n">
        <v>101</v>
      </c>
      <c r="B105" s="4" t="s">
        <v>1355</v>
      </c>
      <c r="C105" s="4" t="s">
        <v>1356</v>
      </c>
      <c r="D105" s="4" t="s">
        <v>1077</v>
      </c>
      <c r="E105" s="4" t="s">
        <v>1357</v>
      </c>
      <c r="F105" s="4"/>
    </row>
    <row r="106" customFormat="false" ht="55.5" hidden="false" customHeight="true" outlineLevel="0" collapsed="false">
      <c r="A106" s="5" t="n">
        <v>102</v>
      </c>
      <c r="B106" s="5" t="s">
        <v>1355</v>
      </c>
      <c r="C106" s="5" t="s">
        <v>1358</v>
      </c>
      <c r="D106" s="5" t="s">
        <v>1077</v>
      </c>
      <c r="E106" s="5"/>
      <c r="F106" s="5"/>
    </row>
    <row r="107" customFormat="false" ht="55.5" hidden="false" customHeight="true" outlineLevel="0" collapsed="false">
      <c r="A107" s="4" t="n">
        <v>103</v>
      </c>
      <c r="B107" s="4" t="s">
        <v>1355</v>
      </c>
      <c r="C107" s="4" t="s">
        <v>1359</v>
      </c>
      <c r="D107" s="4" t="s">
        <v>1077</v>
      </c>
      <c r="E107" s="4"/>
      <c r="F107" s="4"/>
    </row>
    <row r="108" customFormat="false" ht="55.5" hidden="false" customHeight="true" outlineLevel="0" collapsed="false">
      <c r="A108" s="5" t="n">
        <v>104</v>
      </c>
      <c r="B108" s="5" t="s">
        <v>1355</v>
      </c>
      <c r="C108" s="5" t="s">
        <v>1360</v>
      </c>
      <c r="D108" s="5" t="s">
        <v>1077</v>
      </c>
      <c r="E108" s="5"/>
      <c r="F108" s="5" t="s">
        <v>1361</v>
      </c>
    </row>
    <row r="109" customFormat="false" ht="55.5" hidden="false" customHeight="true" outlineLevel="0" collapsed="false">
      <c r="A109" s="4" t="n">
        <v>105</v>
      </c>
      <c r="B109" s="4" t="s">
        <v>1355</v>
      </c>
      <c r="C109" s="4" t="s">
        <v>1362</v>
      </c>
      <c r="D109" s="4" t="s">
        <v>1363</v>
      </c>
      <c r="E109" s="4"/>
      <c r="F109" s="4"/>
    </row>
    <row r="110" customFormat="false" ht="55.5" hidden="false" customHeight="true" outlineLevel="0" collapsed="false">
      <c r="A110" s="5" t="n">
        <v>106</v>
      </c>
      <c r="B110" s="5" t="s">
        <v>1355</v>
      </c>
      <c r="C110" s="5" t="s">
        <v>1364</v>
      </c>
      <c r="D110" s="5" t="s">
        <v>1077</v>
      </c>
      <c r="E110" s="5"/>
      <c r="F110" s="5"/>
    </row>
    <row r="111" customFormat="false" ht="55.5" hidden="false" customHeight="true" outlineLevel="0" collapsed="false">
      <c r="A111" s="4" t="n">
        <v>107</v>
      </c>
      <c r="B111" s="4" t="s">
        <v>1355</v>
      </c>
      <c r="C111" s="4" t="s">
        <v>1365</v>
      </c>
      <c r="D111" s="4" t="s">
        <v>1085</v>
      </c>
      <c r="E111" s="4"/>
      <c r="F111" s="4"/>
    </row>
    <row r="112" customFormat="false" ht="55.5" hidden="false" customHeight="true" outlineLevel="0" collapsed="false">
      <c r="A112" s="5" t="n">
        <v>108</v>
      </c>
      <c r="B112" s="5" t="s">
        <v>1355</v>
      </c>
      <c r="C112" s="5" t="s">
        <v>1366</v>
      </c>
      <c r="D112" s="5" t="s">
        <v>1085</v>
      </c>
      <c r="E112" s="5"/>
      <c r="F112" s="5"/>
    </row>
    <row r="113" customFormat="false" ht="55.5" hidden="false" customHeight="true" outlineLevel="0" collapsed="false">
      <c r="A113" s="4" t="n">
        <v>109</v>
      </c>
      <c r="B113" s="4" t="s">
        <v>1355</v>
      </c>
      <c r="C113" s="4" t="s">
        <v>1367</v>
      </c>
      <c r="D113" s="4" t="s">
        <v>1085</v>
      </c>
      <c r="E113" s="4"/>
      <c r="F113" s="4" t="s">
        <v>1368</v>
      </c>
    </row>
    <row r="114" customFormat="false" ht="55.5" hidden="false" customHeight="true" outlineLevel="0" collapsed="false">
      <c r="A114" s="5" t="n">
        <v>110</v>
      </c>
      <c r="B114" s="5" t="s">
        <v>1369</v>
      </c>
      <c r="C114" s="5" t="s">
        <v>1370</v>
      </c>
      <c r="D114" s="5" t="s">
        <v>246</v>
      </c>
      <c r="E114" s="5" t="s">
        <v>1371</v>
      </c>
      <c r="F114" s="5"/>
    </row>
    <row r="115" customFormat="false" ht="55.5" hidden="false" customHeight="true" outlineLevel="0" collapsed="false">
      <c r="A115" s="4" t="n">
        <v>111</v>
      </c>
      <c r="B115" s="4" t="s">
        <v>1369</v>
      </c>
      <c r="C115" s="4" t="s">
        <v>1372</v>
      </c>
      <c r="D115" s="4" t="s">
        <v>246</v>
      </c>
      <c r="E115" s="4"/>
      <c r="F115" s="4"/>
    </row>
    <row r="116" customFormat="false" ht="55.5" hidden="false" customHeight="true" outlineLevel="0" collapsed="false">
      <c r="A116" s="5" t="n">
        <v>112</v>
      </c>
      <c r="B116" s="5" t="s">
        <v>1369</v>
      </c>
      <c r="C116" s="5" t="s">
        <v>1373</v>
      </c>
      <c r="D116" s="5" t="s">
        <v>249</v>
      </c>
      <c r="E116" s="5" t="s">
        <v>1374</v>
      </c>
      <c r="F116" s="5"/>
    </row>
    <row r="117" customFormat="false" ht="55.5" hidden="false" customHeight="true" outlineLevel="0" collapsed="false">
      <c r="A117" s="4" t="n">
        <v>113</v>
      </c>
      <c r="B117" s="4" t="s">
        <v>1369</v>
      </c>
      <c r="C117" s="4" t="s">
        <v>1375</v>
      </c>
      <c r="D117" s="4" t="s">
        <v>249</v>
      </c>
      <c r="E117" s="4"/>
      <c r="F117" s="4"/>
    </row>
    <row r="118" customFormat="false" ht="55.5" hidden="false" customHeight="true" outlineLevel="0" collapsed="false">
      <c r="A118" s="5" t="n">
        <v>114</v>
      </c>
      <c r="B118" s="5" t="s">
        <v>1369</v>
      </c>
      <c r="C118" s="5" t="s">
        <v>1376</v>
      </c>
      <c r="D118" s="5" t="s">
        <v>253</v>
      </c>
      <c r="E118" s="5"/>
      <c r="F118" s="5"/>
    </row>
    <row r="119" customFormat="false" ht="55.5" hidden="false" customHeight="true" outlineLevel="0" collapsed="false">
      <c r="A119" s="4" t="n">
        <v>115</v>
      </c>
      <c r="B119" s="4" t="s">
        <v>1369</v>
      </c>
      <c r="C119" s="4" t="s">
        <v>1377</v>
      </c>
      <c r="D119" s="4" t="s">
        <v>253</v>
      </c>
      <c r="E119" s="4"/>
      <c r="F119" s="4" t="s">
        <v>1378</v>
      </c>
    </row>
    <row r="120" customFormat="false" ht="55.5" hidden="false" customHeight="true" outlineLevel="0" collapsed="false">
      <c r="A120" s="5" t="n">
        <v>116</v>
      </c>
      <c r="B120" s="5" t="s">
        <v>1369</v>
      </c>
      <c r="C120" s="5" t="s">
        <v>1379</v>
      </c>
      <c r="D120" s="5" t="s">
        <v>256</v>
      </c>
      <c r="E120" s="5"/>
      <c r="F120" s="5"/>
    </row>
    <row r="121" customFormat="false" ht="55.5" hidden="false" customHeight="true" outlineLevel="0" collapsed="false">
      <c r="A121" s="4" t="n">
        <v>117</v>
      </c>
      <c r="B121" s="4" t="s">
        <v>1369</v>
      </c>
      <c r="C121" s="4" t="s">
        <v>1380</v>
      </c>
      <c r="D121" s="4" t="s">
        <v>256</v>
      </c>
      <c r="E121" s="4"/>
      <c r="F121" s="4" t="s">
        <v>1381</v>
      </c>
    </row>
    <row r="122" customFormat="false" ht="55.5" hidden="false" customHeight="true" outlineLevel="0" collapsed="false">
      <c r="A122" s="5" t="n">
        <v>118</v>
      </c>
      <c r="B122" s="5" t="s">
        <v>1369</v>
      </c>
      <c r="C122" s="5" t="s">
        <v>1382</v>
      </c>
      <c r="D122" s="5" t="s">
        <v>259</v>
      </c>
      <c r="E122" s="5" t="s">
        <v>1383</v>
      </c>
      <c r="F122" s="5"/>
    </row>
    <row r="123" customFormat="false" ht="55.5" hidden="false" customHeight="true" outlineLevel="0" collapsed="false">
      <c r="A123" s="4" t="n">
        <v>119</v>
      </c>
      <c r="B123" s="4" t="s">
        <v>1369</v>
      </c>
      <c r="C123" s="4" t="s">
        <v>1384</v>
      </c>
      <c r="D123" s="4" t="s">
        <v>259</v>
      </c>
      <c r="E123" s="4"/>
      <c r="F123" s="4"/>
    </row>
    <row r="124" customFormat="false" ht="55.5" hidden="false" customHeight="true" outlineLevel="0" collapsed="false">
      <c r="A124" s="5" t="n">
        <v>120</v>
      </c>
      <c r="B124" s="5" t="s">
        <v>165</v>
      </c>
      <c r="C124" s="5" t="s">
        <v>1385</v>
      </c>
      <c r="D124" s="5" t="s">
        <v>251</v>
      </c>
      <c r="E124" s="5"/>
      <c r="F124" s="5"/>
    </row>
    <row r="125" customFormat="false" ht="55.5" hidden="false" customHeight="true" outlineLevel="0" collapsed="false">
      <c r="A125" s="4" t="n">
        <v>121</v>
      </c>
      <c r="B125" s="4" t="s">
        <v>165</v>
      </c>
      <c r="C125" s="4" t="s">
        <v>1386</v>
      </c>
      <c r="D125" s="4" t="s">
        <v>251</v>
      </c>
      <c r="E125" s="4" t="s">
        <v>1387</v>
      </c>
      <c r="F125" s="4" t="s">
        <v>1388</v>
      </c>
    </row>
    <row r="126" customFormat="false" ht="55.5" hidden="false" customHeight="true" outlineLevel="0" collapsed="false">
      <c r="A126" s="5" t="n">
        <v>122</v>
      </c>
      <c r="B126" s="5" t="s">
        <v>165</v>
      </c>
      <c r="C126" s="5" t="s">
        <v>1389</v>
      </c>
      <c r="D126" s="5" t="s">
        <v>251</v>
      </c>
      <c r="E126" s="5"/>
      <c r="F126" s="5"/>
    </row>
    <row r="127" customFormat="false" ht="55.5" hidden="false" customHeight="true" outlineLevel="0" collapsed="false">
      <c r="A127" s="4" t="n">
        <v>123</v>
      </c>
      <c r="B127" s="4" t="s">
        <v>165</v>
      </c>
      <c r="C127" s="4" t="s">
        <v>1390</v>
      </c>
      <c r="D127" s="4" t="s">
        <v>1391</v>
      </c>
      <c r="E127" s="4" t="s">
        <v>1392</v>
      </c>
      <c r="F127" s="4"/>
    </row>
    <row r="128" customFormat="false" ht="55.5" hidden="false" customHeight="true" outlineLevel="0" collapsed="false">
      <c r="A128" s="5" t="n">
        <v>124</v>
      </c>
      <c r="B128" s="5" t="s">
        <v>165</v>
      </c>
      <c r="C128" s="5" t="s">
        <v>1393</v>
      </c>
      <c r="D128" s="5" t="s">
        <v>1391</v>
      </c>
      <c r="E128" s="5"/>
      <c r="F128" s="5"/>
    </row>
    <row r="129" customFormat="false" ht="55.5" hidden="false" customHeight="true" outlineLevel="0" collapsed="false">
      <c r="A129" s="4" t="n">
        <v>125</v>
      </c>
      <c r="B129" s="4" t="s">
        <v>165</v>
      </c>
      <c r="C129" s="4" t="s">
        <v>1394</v>
      </c>
      <c r="D129" s="4" t="s">
        <v>1391</v>
      </c>
      <c r="E129" s="4"/>
      <c r="F129" s="4"/>
    </row>
    <row r="130" customFormat="false" ht="55.5" hidden="false" customHeight="true" outlineLevel="0" collapsed="false">
      <c r="A130" s="5" t="n">
        <v>126</v>
      </c>
      <c r="B130" s="5" t="s">
        <v>165</v>
      </c>
      <c r="C130" s="5" t="s">
        <v>1395</v>
      </c>
      <c r="D130" s="5" t="s">
        <v>1396</v>
      </c>
      <c r="E130" s="5"/>
      <c r="F130" s="5"/>
    </row>
    <row r="131" customFormat="false" ht="55.5" hidden="false" customHeight="true" outlineLevel="0" collapsed="false">
      <c r="A131" s="4" t="n">
        <v>127</v>
      </c>
      <c r="B131" s="4" t="s">
        <v>165</v>
      </c>
      <c r="C131" s="4" t="s">
        <v>1397</v>
      </c>
      <c r="D131" s="4" t="s">
        <v>1396</v>
      </c>
      <c r="E131" s="4" t="s">
        <v>1398</v>
      </c>
      <c r="F131" s="4"/>
    </row>
    <row r="132" customFormat="false" ht="55.5" hidden="false" customHeight="true" outlineLevel="0" collapsed="false">
      <c r="A132" s="5" t="n">
        <v>128</v>
      </c>
      <c r="B132" s="5" t="s">
        <v>165</v>
      </c>
      <c r="C132" s="5" t="s">
        <v>1399</v>
      </c>
      <c r="D132" s="5" t="s">
        <v>251</v>
      </c>
      <c r="E132" s="5"/>
      <c r="F132" s="5"/>
    </row>
    <row r="133" customFormat="false" ht="55.5" hidden="false" customHeight="true" outlineLevel="0" collapsed="false">
      <c r="A133" s="4" t="n">
        <v>129</v>
      </c>
      <c r="B133" s="4" t="s">
        <v>165</v>
      </c>
      <c r="C133" s="4" t="s">
        <v>1400</v>
      </c>
      <c r="D133" s="4" t="s">
        <v>251</v>
      </c>
      <c r="E133" s="4"/>
      <c r="F133" s="4"/>
    </row>
    <row r="134" customFormat="false" ht="55.5" hidden="false" customHeight="true" outlineLevel="0" collapsed="false">
      <c r="A134" s="5" t="n">
        <v>130</v>
      </c>
      <c r="B134" s="5" t="s">
        <v>165</v>
      </c>
      <c r="C134" s="5" t="s">
        <v>1401</v>
      </c>
      <c r="D134" s="5" t="s">
        <v>1402</v>
      </c>
      <c r="E134" s="5"/>
      <c r="F134" s="5"/>
    </row>
    <row r="135" customFormat="false" ht="55.5" hidden="false" customHeight="true" outlineLevel="0" collapsed="false">
      <c r="A135" s="4" t="n">
        <v>131</v>
      </c>
      <c r="B135" s="4" t="s">
        <v>165</v>
      </c>
      <c r="C135" s="4" t="s">
        <v>1403</v>
      </c>
      <c r="D135" s="4" t="s">
        <v>1402</v>
      </c>
      <c r="E135" s="4"/>
      <c r="F135" s="4"/>
    </row>
    <row r="136" customFormat="false" ht="55.5" hidden="false" customHeight="true" outlineLevel="0" collapsed="false">
      <c r="A136" s="5" t="n">
        <v>132</v>
      </c>
      <c r="B136" s="5" t="s">
        <v>165</v>
      </c>
      <c r="C136" s="5" t="s">
        <v>1404</v>
      </c>
      <c r="D136" s="5" t="s">
        <v>267</v>
      </c>
      <c r="E136" s="5" t="s">
        <v>1405</v>
      </c>
      <c r="F136" s="5"/>
    </row>
    <row r="137" customFormat="false" ht="55.5" hidden="false" customHeight="true" outlineLevel="0" collapsed="false">
      <c r="A137" s="4" t="n">
        <v>133</v>
      </c>
      <c r="B137" s="4" t="s">
        <v>165</v>
      </c>
      <c r="C137" s="4" t="s">
        <v>1406</v>
      </c>
      <c r="D137" s="4" t="s">
        <v>267</v>
      </c>
      <c r="E137" s="4"/>
      <c r="F137" s="4"/>
    </row>
    <row r="138" customFormat="false" ht="55.5" hidden="false" customHeight="true" outlineLevel="0" collapsed="false">
      <c r="A138" s="5" t="n">
        <v>134</v>
      </c>
      <c r="B138" s="5" t="s">
        <v>165</v>
      </c>
      <c r="C138" s="5" t="s">
        <v>1407</v>
      </c>
      <c r="D138" s="5" t="s">
        <v>267</v>
      </c>
      <c r="E138" s="5"/>
      <c r="F138" s="5" t="s">
        <v>1408</v>
      </c>
    </row>
    <row r="139" customFormat="false" ht="55.5" hidden="false" customHeight="true" outlineLevel="0" collapsed="false">
      <c r="A139" s="4" t="n">
        <v>135</v>
      </c>
      <c r="B139" s="4" t="s">
        <v>1409</v>
      </c>
      <c r="C139" s="4" t="s">
        <v>1410</v>
      </c>
      <c r="D139" s="4" t="s">
        <v>261</v>
      </c>
      <c r="E139" s="4" t="s">
        <v>1411</v>
      </c>
      <c r="F139" s="4"/>
    </row>
    <row r="140" customFormat="false" ht="55.5" hidden="false" customHeight="true" outlineLevel="0" collapsed="false">
      <c r="A140" s="5" t="n">
        <v>136</v>
      </c>
      <c r="B140" s="5" t="s">
        <v>1409</v>
      </c>
      <c r="C140" s="5" t="s">
        <v>1412</v>
      </c>
      <c r="D140" s="5" t="s">
        <v>261</v>
      </c>
      <c r="E140" s="5"/>
      <c r="F140" s="5"/>
    </row>
    <row r="141" customFormat="false" ht="55.5" hidden="false" customHeight="true" outlineLevel="0" collapsed="false">
      <c r="A141" s="4" t="n">
        <v>137</v>
      </c>
      <c r="B141" s="4" t="s">
        <v>1409</v>
      </c>
      <c r="C141" s="4" t="s">
        <v>1413</v>
      </c>
      <c r="D141" s="4" t="s">
        <v>261</v>
      </c>
      <c r="E141" s="4"/>
      <c r="F141" s="4"/>
    </row>
    <row r="142" customFormat="false" ht="55.5" hidden="false" customHeight="true" outlineLevel="0" collapsed="false">
      <c r="A142" s="5" t="n">
        <v>138</v>
      </c>
      <c r="B142" s="5" t="s">
        <v>1409</v>
      </c>
      <c r="C142" s="5" t="s">
        <v>1414</v>
      </c>
      <c r="D142" s="5" t="s">
        <v>263</v>
      </c>
      <c r="E142" s="5"/>
      <c r="F142" s="5"/>
    </row>
    <row r="143" customFormat="false" ht="55.5" hidden="false" customHeight="true" outlineLevel="0" collapsed="false">
      <c r="A143" s="4" t="n">
        <v>139</v>
      </c>
      <c r="B143" s="4" t="s">
        <v>1409</v>
      </c>
      <c r="C143" s="4" t="s">
        <v>1415</v>
      </c>
      <c r="D143" s="4" t="s">
        <v>263</v>
      </c>
      <c r="E143" s="4"/>
      <c r="F143" s="4"/>
    </row>
    <row r="144" customFormat="false" ht="55.5" hidden="false" customHeight="true" outlineLevel="0" collapsed="false">
      <c r="A144" s="5" t="n">
        <v>140</v>
      </c>
      <c r="B144" s="5" t="s">
        <v>1409</v>
      </c>
      <c r="C144" s="5" t="s">
        <v>1416</v>
      </c>
      <c r="D144" s="5" t="s">
        <v>265</v>
      </c>
      <c r="E144" s="5" t="s">
        <v>1417</v>
      </c>
      <c r="F144" s="5"/>
    </row>
    <row r="145" customFormat="false" ht="55.5" hidden="false" customHeight="true" outlineLevel="0" collapsed="false">
      <c r="A145" s="4" t="n">
        <v>141</v>
      </c>
      <c r="B145" s="4" t="s">
        <v>1409</v>
      </c>
      <c r="C145" s="4" t="s">
        <v>1418</v>
      </c>
      <c r="D145" s="4" t="s">
        <v>265</v>
      </c>
      <c r="E145" s="4"/>
      <c r="F145" s="4"/>
    </row>
    <row r="146" customFormat="false" ht="55.5" hidden="false" customHeight="true" outlineLevel="0" collapsed="false">
      <c r="A146" s="5" t="n">
        <v>142</v>
      </c>
      <c r="B146" s="5" t="s">
        <v>1409</v>
      </c>
      <c r="C146" s="5" t="s">
        <v>1419</v>
      </c>
      <c r="D146" s="5" t="s">
        <v>267</v>
      </c>
      <c r="E146" s="5"/>
      <c r="F146" s="5"/>
    </row>
    <row r="147" customFormat="false" ht="55.5" hidden="false" customHeight="true" outlineLevel="0" collapsed="false">
      <c r="A147" s="4" t="n">
        <v>143</v>
      </c>
      <c r="B147" s="4" t="s">
        <v>1409</v>
      </c>
      <c r="C147" s="4" t="s">
        <v>1420</v>
      </c>
      <c r="D147" s="4" t="s">
        <v>267</v>
      </c>
      <c r="E147" s="4"/>
      <c r="F147" s="4" t="s">
        <v>1421</v>
      </c>
    </row>
    <row r="148" customFormat="false" ht="55.5" hidden="false" customHeight="true" outlineLevel="0" collapsed="false">
      <c r="A148" s="5" t="n">
        <v>144</v>
      </c>
      <c r="B148" s="5" t="s">
        <v>1422</v>
      </c>
      <c r="C148" s="5" t="s">
        <v>1423</v>
      </c>
      <c r="D148" s="5" t="s">
        <v>1195</v>
      </c>
      <c r="E148" s="5"/>
      <c r="F148" s="5"/>
    </row>
    <row r="149" customFormat="false" ht="55.5" hidden="false" customHeight="true" outlineLevel="0" collapsed="false">
      <c r="A149" s="4" t="n">
        <v>145</v>
      </c>
      <c r="B149" s="4" t="s">
        <v>1422</v>
      </c>
      <c r="C149" s="4" t="s">
        <v>1424</v>
      </c>
      <c r="D149" s="4" t="s">
        <v>1195</v>
      </c>
      <c r="E149" s="4"/>
      <c r="F149" s="4"/>
    </row>
    <row r="150" customFormat="false" ht="55.5" hidden="false" customHeight="true" outlineLevel="0" collapsed="false">
      <c r="A150" s="5" t="n">
        <v>146</v>
      </c>
      <c r="B150" s="5" t="s">
        <v>1422</v>
      </c>
      <c r="C150" s="5" t="s">
        <v>1425</v>
      </c>
      <c r="D150" s="5" t="s">
        <v>1195</v>
      </c>
      <c r="E150" s="5"/>
      <c r="F150" s="5" t="s">
        <v>1426</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1427</v>
      </c>
    </row>
    <row r="2" customFormat="false" ht="15" hidden="false" customHeight="false" outlineLevel="0" collapsed="false">
      <c r="A2" s="2" t="s">
        <v>1428</v>
      </c>
    </row>
    <row r="4" customFormat="false" ht="30" hidden="false" customHeight="true" outlineLevel="0" collapsed="false">
      <c r="A4" s="3" t="s">
        <v>609</v>
      </c>
      <c r="B4" s="3" t="s">
        <v>610</v>
      </c>
      <c r="C4" s="3" t="s">
        <v>1429</v>
      </c>
      <c r="D4" s="3" t="s">
        <v>1430</v>
      </c>
      <c r="E4" s="3" t="s">
        <v>1431</v>
      </c>
    </row>
    <row r="5" customFormat="false" ht="25.5" hidden="false" customHeight="true" outlineLevel="0" collapsed="false">
      <c r="A5" s="4" t="s">
        <v>195</v>
      </c>
      <c r="B5" s="4" t="s">
        <v>1432</v>
      </c>
      <c r="C5" s="4" t="s">
        <v>1433</v>
      </c>
      <c r="D5" s="4" t="s">
        <v>1434</v>
      </c>
      <c r="E5" s="4" t="s">
        <v>622</v>
      </c>
    </row>
    <row r="6" customFormat="false" ht="25.5" hidden="false" customHeight="true" outlineLevel="0" collapsed="false">
      <c r="A6" s="5" t="s">
        <v>195</v>
      </c>
      <c r="B6" s="5" t="s">
        <v>1432</v>
      </c>
      <c r="C6" s="5" t="s">
        <v>1435</v>
      </c>
      <c r="D6" s="5" t="s">
        <v>1436</v>
      </c>
      <c r="E6" s="5" t="s">
        <v>622</v>
      </c>
    </row>
    <row r="7" customFormat="false" ht="25.5" hidden="false" customHeight="true" outlineLevel="0" collapsed="false">
      <c r="A7" s="4" t="s">
        <v>195</v>
      </c>
      <c r="B7" s="4" t="s">
        <v>1432</v>
      </c>
      <c r="C7" s="4" t="s">
        <v>1437</v>
      </c>
      <c r="D7" s="4" t="s">
        <v>138</v>
      </c>
      <c r="E7" s="4" t="s">
        <v>622</v>
      </c>
    </row>
    <row r="8" customFormat="false" ht="25.5" hidden="false" customHeight="true" outlineLevel="0" collapsed="false">
      <c r="A8" s="5" t="s">
        <v>195</v>
      </c>
      <c r="B8" s="5" t="s">
        <v>1432</v>
      </c>
      <c r="C8" s="5" t="s">
        <v>1438</v>
      </c>
      <c r="D8" s="5" t="s">
        <v>1439</v>
      </c>
      <c r="E8" s="5" t="s">
        <v>622</v>
      </c>
    </row>
    <row r="9" customFormat="false" ht="25.5" hidden="false" customHeight="true" outlineLevel="0" collapsed="false">
      <c r="A9" s="4" t="s">
        <v>195</v>
      </c>
      <c r="B9" s="4" t="s">
        <v>1432</v>
      </c>
      <c r="C9" s="4" t="s">
        <v>1440</v>
      </c>
      <c r="D9" s="4" t="s">
        <v>1441</v>
      </c>
      <c r="E9" s="4" t="s">
        <v>622</v>
      </c>
    </row>
    <row r="10" customFormat="false" ht="25.5" hidden="false" customHeight="true" outlineLevel="0" collapsed="false">
      <c r="A10" s="5" t="s">
        <v>195</v>
      </c>
      <c r="B10" s="5" t="s">
        <v>1432</v>
      </c>
      <c r="C10" s="5" t="s">
        <v>1442</v>
      </c>
      <c r="D10" s="5" t="s">
        <v>1443</v>
      </c>
      <c r="E10" s="5" t="s">
        <v>622</v>
      </c>
    </row>
    <row r="11" customFormat="false" ht="25.5" hidden="false" customHeight="true" outlineLevel="0" collapsed="false">
      <c r="A11" s="4" t="s">
        <v>195</v>
      </c>
      <c r="B11" s="4" t="s">
        <v>1432</v>
      </c>
      <c r="C11" s="4" t="s">
        <v>1444</v>
      </c>
      <c r="D11" s="4" t="s">
        <v>1445</v>
      </c>
      <c r="E11" s="4" t="s">
        <v>622</v>
      </c>
    </row>
    <row r="12" customFormat="false" ht="25.5" hidden="false" customHeight="true" outlineLevel="0" collapsed="false">
      <c r="A12" s="5" t="s">
        <v>195</v>
      </c>
      <c r="B12" s="5" t="s">
        <v>1432</v>
      </c>
      <c r="C12" s="5" t="s">
        <v>1446</v>
      </c>
      <c r="D12" s="5" t="s">
        <v>1447</v>
      </c>
      <c r="E12" s="5" t="s">
        <v>622</v>
      </c>
    </row>
    <row r="13" customFormat="false" ht="25.5" hidden="false" customHeight="true" outlineLevel="0" collapsed="false">
      <c r="A13" s="4" t="s">
        <v>195</v>
      </c>
      <c r="B13" s="4" t="s">
        <v>1432</v>
      </c>
      <c r="C13" s="4" t="s">
        <v>1448</v>
      </c>
      <c r="D13" s="4" t="s">
        <v>1449</v>
      </c>
      <c r="E13" s="4" t="s">
        <v>622</v>
      </c>
    </row>
    <row r="14" customFormat="false" ht="25.5" hidden="false" customHeight="true" outlineLevel="0" collapsed="false">
      <c r="A14" s="5" t="s">
        <v>195</v>
      </c>
      <c r="B14" s="5" t="s">
        <v>1432</v>
      </c>
      <c r="C14" s="5" t="s">
        <v>1450</v>
      </c>
      <c r="D14" s="5" t="s">
        <v>1451</v>
      </c>
      <c r="E14" s="5" t="s">
        <v>622</v>
      </c>
    </row>
    <row r="15" customFormat="false" ht="25.5" hidden="false" customHeight="true" outlineLevel="0" collapsed="false">
      <c r="A15" s="4" t="s">
        <v>195</v>
      </c>
      <c r="B15" s="4" t="s">
        <v>1432</v>
      </c>
      <c r="C15" s="4" t="s">
        <v>1452</v>
      </c>
      <c r="D15" s="4" t="s">
        <v>1453</v>
      </c>
      <c r="E15" s="4" t="s">
        <v>622</v>
      </c>
    </row>
    <row r="16" customFormat="false" ht="25.5" hidden="false" customHeight="true" outlineLevel="0" collapsed="false">
      <c r="A16" s="5" t="s">
        <v>195</v>
      </c>
      <c r="B16" s="5" t="s">
        <v>1432</v>
      </c>
      <c r="C16" s="5" t="s">
        <v>1454</v>
      </c>
      <c r="D16" s="5" t="s">
        <v>1455</v>
      </c>
      <c r="E16" s="5" t="s">
        <v>622</v>
      </c>
    </row>
    <row r="17" customFormat="false" ht="25.5" hidden="false" customHeight="true" outlineLevel="0" collapsed="false">
      <c r="A17" s="4" t="s">
        <v>195</v>
      </c>
      <c r="B17" s="4" t="s">
        <v>1432</v>
      </c>
      <c r="C17" s="4" t="s">
        <v>1456</v>
      </c>
      <c r="D17" s="4" t="s">
        <v>1457</v>
      </c>
      <c r="E17" s="4" t="s">
        <v>622</v>
      </c>
    </row>
    <row r="18" customFormat="false" ht="25.5" hidden="false" customHeight="true" outlineLevel="0" collapsed="false">
      <c r="A18" s="5" t="s">
        <v>195</v>
      </c>
      <c r="B18" s="5" t="s">
        <v>1432</v>
      </c>
      <c r="C18" s="5" t="s">
        <v>1458</v>
      </c>
      <c r="D18" s="5" t="s">
        <v>1459</v>
      </c>
      <c r="E18" s="5" t="s">
        <v>622</v>
      </c>
    </row>
    <row r="19" customFormat="false" ht="25.5" hidden="false" customHeight="true" outlineLevel="0" collapsed="false">
      <c r="A19" s="4" t="s">
        <v>195</v>
      </c>
      <c r="B19" s="4" t="s">
        <v>1432</v>
      </c>
      <c r="C19" s="4" t="s">
        <v>1460</v>
      </c>
      <c r="D19" s="4" t="s">
        <v>1461</v>
      </c>
      <c r="E19" s="4" t="s">
        <v>622</v>
      </c>
    </row>
    <row r="20" customFormat="false" ht="25.5" hidden="false" customHeight="true" outlineLevel="0" collapsed="false">
      <c r="A20" s="5" t="s">
        <v>195</v>
      </c>
      <c r="B20" s="5" t="s">
        <v>1432</v>
      </c>
      <c r="C20" s="5" t="s">
        <v>1462</v>
      </c>
      <c r="D20" s="5" t="s">
        <v>1463</v>
      </c>
      <c r="E20" s="5" t="s">
        <v>622</v>
      </c>
    </row>
    <row r="21" customFormat="false" ht="25.5" hidden="false" customHeight="true" outlineLevel="0" collapsed="false">
      <c r="A21" s="4" t="s">
        <v>195</v>
      </c>
      <c r="B21" s="4" t="s">
        <v>1432</v>
      </c>
      <c r="C21" s="4" t="s">
        <v>1464</v>
      </c>
      <c r="D21" s="4" t="s">
        <v>1465</v>
      </c>
      <c r="E21" s="4" t="s">
        <v>622</v>
      </c>
    </row>
    <row r="22" customFormat="false" ht="25.5" hidden="false" customHeight="true" outlineLevel="0" collapsed="false">
      <c r="A22" s="5" t="s">
        <v>195</v>
      </c>
      <c r="B22" s="5" t="s">
        <v>1432</v>
      </c>
      <c r="C22" s="5" t="s">
        <v>1466</v>
      </c>
      <c r="D22" s="5" t="s">
        <v>1467</v>
      </c>
      <c r="E22" s="5" t="s">
        <v>622</v>
      </c>
    </row>
    <row r="23" customFormat="false" ht="25.5" hidden="false" customHeight="true" outlineLevel="0" collapsed="false">
      <c r="A23" s="4" t="s">
        <v>195</v>
      </c>
      <c r="B23" s="4" t="s">
        <v>1432</v>
      </c>
      <c r="C23" s="4" t="s">
        <v>1468</v>
      </c>
      <c r="D23" s="4" t="s">
        <v>1469</v>
      </c>
      <c r="E23" s="4" t="s">
        <v>622</v>
      </c>
    </row>
    <row r="24" customFormat="false" ht="25.5" hidden="false" customHeight="true" outlineLevel="0" collapsed="false">
      <c r="A24" s="5" t="s">
        <v>195</v>
      </c>
      <c r="B24" s="5" t="s">
        <v>1432</v>
      </c>
      <c r="C24" s="5" t="s">
        <v>1470</v>
      </c>
      <c r="D24" s="5" t="s">
        <v>1471</v>
      </c>
      <c r="E24" s="5" t="s">
        <v>622</v>
      </c>
    </row>
    <row r="25" customFormat="false" ht="25.5" hidden="false" customHeight="true" outlineLevel="0" collapsed="false">
      <c r="A25" s="4" t="s">
        <v>195</v>
      </c>
      <c r="B25" s="4" t="s">
        <v>1432</v>
      </c>
      <c r="C25" s="4" t="s">
        <v>1472</v>
      </c>
      <c r="D25" s="4" t="s">
        <v>1473</v>
      </c>
      <c r="E25" s="4" t="s">
        <v>622</v>
      </c>
    </row>
    <row r="26" customFormat="false" ht="25.5" hidden="false" customHeight="true" outlineLevel="0" collapsed="false">
      <c r="A26" s="5" t="s">
        <v>195</v>
      </c>
      <c r="B26" s="5" t="s">
        <v>1432</v>
      </c>
      <c r="C26" s="5" t="s">
        <v>1474</v>
      </c>
      <c r="D26" s="5" t="s">
        <v>1475</v>
      </c>
      <c r="E26" s="5" t="s">
        <v>622</v>
      </c>
    </row>
    <row r="27" customFormat="false" ht="25.5" hidden="false" customHeight="true" outlineLevel="0" collapsed="false">
      <c r="A27" s="4" t="s">
        <v>195</v>
      </c>
      <c r="B27" s="4" t="s">
        <v>1432</v>
      </c>
      <c r="C27" s="4" t="s">
        <v>1476</v>
      </c>
      <c r="D27" s="4" t="s">
        <v>1477</v>
      </c>
      <c r="E27" s="4" t="s">
        <v>622</v>
      </c>
    </row>
    <row r="28" customFormat="false" ht="25.5" hidden="false" customHeight="true" outlineLevel="0" collapsed="false">
      <c r="A28" s="5" t="s">
        <v>195</v>
      </c>
      <c r="B28" s="5" t="s">
        <v>1432</v>
      </c>
      <c r="C28" s="5" t="s">
        <v>1478</v>
      </c>
      <c r="D28" s="5" t="s">
        <v>1479</v>
      </c>
      <c r="E28" s="5" t="s">
        <v>622</v>
      </c>
    </row>
    <row r="29" customFormat="false" ht="25.5" hidden="false" customHeight="true" outlineLevel="0" collapsed="false">
      <c r="A29" s="4" t="s">
        <v>195</v>
      </c>
      <c r="B29" s="4" t="s">
        <v>1432</v>
      </c>
      <c r="C29" s="4" t="s">
        <v>1480</v>
      </c>
      <c r="D29" s="4" t="s">
        <v>1481</v>
      </c>
      <c r="E29" s="4" t="s">
        <v>622</v>
      </c>
    </row>
    <row r="30" customFormat="false" ht="25.5" hidden="false" customHeight="true" outlineLevel="0" collapsed="false">
      <c r="A30" s="5" t="s">
        <v>195</v>
      </c>
      <c r="B30" s="5" t="s">
        <v>1432</v>
      </c>
      <c r="C30" s="5" t="s">
        <v>1482</v>
      </c>
      <c r="D30" s="5" t="s">
        <v>1483</v>
      </c>
      <c r="E30" s="5" t="s">
        <v>622</v>
      </c>
    </row>
    <row r="31" customFormat="false" ht="25.5" hidden="false" customHeight="true" outlineLevel="0" collapsed="false">
      <c r="A31" s="4" t="s">
        <v>195</v>
      </c>
      <c r="B31" s="4" t="s">
        <v>1432</v>
      </c>
      <c r="C31" s="4" t="s">
        <v>1484</v>
      </c>
      <c r="D31" s="4" t="s">
        <v>1485</v>
      </c>
      <c r="E31" s="4" t="s">
        <v>622</v>
      </c>
    </row>
    <row r="32" customFormat="false" ht="25.5" hidden="false" customHeight="true" outlineLevel="0" collapsed="false">
      <c r="A32" s="5" t="s">
        <v>195</v>
      </c>
      <c r="B32" s="5" t="s">
        <v>1432</v>
      </c>
      <c r="C32" s="5" t="s">
        <v>1486</v>
      </c>
      <c r="D32" s="5" t="s">
        <v>1487</v>
      </c>
      <c r="E32" s="5" t="s">
        <v>622</v>
      </c>
    </row>
    <row r="33" customFormat="false" ht="25.5" hidden="false" customHeight="true" outlineLevel="0" collapsed="false">
      <c r="A33" s="4" t="s">
        <v>192</v>
      </c>
      <c r="B33" s="4" t="s">
        <v>1488</v>
      </c>
      <c r="C33" s="4" t="s">
        <v>1489</v>
      </c>
      <c r="D33" s="4" t="s">
        <v>1490</v>
      </c>
      <c r="E33" s="4" t="s">
        <v>622</v>
      </c>
    </row>
    <row r="34" customFormat="false" ht="25.5" hidden="false" customHeight="true" outlineLevel="0" collapsed="false">
      <c r="A34" s="5" t="s">
        <v>192</v>
      </c>
      <c r="B34" s="5" t="s">
        <v>1488</v>
      </c>
      <c r="C34" s="5" t="s">
        <v>1435</v>
      </c>
      <c r="D34" s="5" t="s">
        <v>1491</v>
      </c>
      <c r="E34" s="5" t="s">
        <v>622</v>
      </c>
    </row>
    <row r="35" customFormat="false" ht="25.5" hidden="false" customHeight="true" outlineLevel="0" collapsed="false">
      <c r="A35" s="4" t="s">
        <v>192</v>
      </c>
      <c r="B35" s="4" t="s">
        <v>1488</v>
      </c>
      <c r="C35" s="4" t="s">
        <v>1437</v>
      </c>
      <c r="D35" s="4" t="s">
        <v>1492</v>
      </c>
      <c r="E35" s="4" t="s">
        <v>622</v>
      </c>
    </row>
    <row r="36" customFormat="false" ht="25.5" hidden="false" customHeight="true" outlineLevel="0" collapsed="false">
      <c r="A36" s="5" t="s">
        <v>192</v>
      </c>
      <c r="B36" s="5" t="s">
        <v>1488</v>
      </c>
      <c r="C36" s="5" t="s">
        <v>1438</v>
      </c>
      <c r="D36" s="5" t="s">
        <v>1493</v>
      </c>
      <c r="E36" s="5" t="s">
        <v>622</v>
      </c>
    </row>
    <row r="37" customFormat="false" ht="25.5" hidden="false" customHeight="true" outlineLevel="0" collapsed="false">
      <c r="A37" s="4" t="s">
        <v>192</v>
      </c>
      <c r="B37" s="4" t="s">
        <v>1488</v>
      </c>
      <c r="C37" s="4" t="s">
        <v>1494</v>
      </c>
      <c r="D37" s="4" t="s">
        <v>1495</v>
      </c>
      <c r="E37" s="4" t="s">
        <v>622</v>
      </c>
    </row>
    <row r="38" customFormat="false" ht="25.5" hidden="false" customHeight="true" outlineLevel="0" collapsed="false">
      <c r="A38" s="5" t="s">
        <v>192</v>
      </c>
      <c r="B38" s="5" t="s">
        <v>1488</v>
      </c>
      <c r="C38" s="5" t="s">
        <v>1442</v>
      </c>
      <c r="D38" s="5" t="s">
        <v>1496</v>
      </c>
      <c r="E38" s="5" t="s">
        <v>622</v>
      </c>
    </row>
    <row r="39" customFormat="false" ht="25.5" hidden="false" customHeight="true" outlineLevel="0" collapsed="false">
      <c r="A39" s="4" t="s">
        <v>192</v>
      </c>
      <c r="B39" s="4" t="s">
        <v>1488</v>
      </c>
      <c r="C39" s="4" t="s">
        <v>1444</v>
      </c>
      <c r="D39" s="4" t="s">
        <v>1497</v>
      </c>
      <c r="E39" s="4" t="s">
        <v>622</v>
      </c>
    </row>
    <row r="40" customFormat="false" ht="25.5" hidden="false" customHeight="true" outlineLevel="0" collapsed="false">
      <c r="A40" s="5" t="s">
        <v>192</v>
      </c>
      <c r="B40" s="5" t="s">
        <v>1488</v>
      </c>
      <c r="C40" s="5" t="s">
        <v>1446</v>
      </c>
      <c r="D40" s="5" t="s">
        <v>1498</v>
      </c>
      <c r="E40" s="5" t="s">
        <v>622</v>
      </c>
    </row>
    <row r="41" customFormat="false" ht="25.5" hidden="false" customHeight="true" outlineLevel="0" collapsed="false">
      <c r="A41" s="4" t="s">
        <v>192</v>
      </c>
      <c r="B41" s="4" t="s">
        <v>1488</v>
      </c>
      <c r="C41" s="4" t="s">
        <v>1499</v>
      </c>
      <c r="D41" s="4" t="s">
        <v>1500</v>
      </c>
      <c r="E41" s="4" t="s">
        <v>622</v>
      </c>
    </row>
    <row r="42" customFormat="false" ht="25.5" hidden="false" customHeight="true" outlineLevel="0" collapsed="false">
      <c r="A42" s="5" t="s">
        <v>192</v>
      </c>
      <c r="B42" s="5" t="s">
        <v>1488</v>
      </c>
      <c r="C42" s="5" t="s">
        <v>1456</v>
      </c>
      <c r="D42" s="5" t="s">
        <v>1501</v>
      </c>
      <c r="E42" s="5" t="s">
        <v>622</v>
      </c>
    </row>
    <row r="43" customFormat="false" ht="25.5" hidden="false" customHeight="true" outlineLevel="0" collapsed="false">
      <c r="A43" s="4" t="s">
        <v>192</v>
      </c>
      <c r="B43" s="4" t="s">
        <v>1488</v>
      </c>
      <c r="C43" s="4" t="s">
        <v>1458</v>
      </c>
      <c r="D43" s="4" t="s">
        <v>1502</v>
      </c>
      <c r="E43" s="4" t="s">
        <v>622</v>
      </c>
    </row>
    <row r="44" customFormat="false" ht="25.5" hidden="false" customHeight="true" outlineLevel="0" collapsed="false">
      <c r="A44" s="5" t="s">
        <v>192</v>
      </c>
      <c r="B44" s="5" t="s">
        <v>1488</v>
      </c>
      <c r="C44" s="5" t="s">
        <v>1460</v>
      </c>
      <c r="D44" s="5" t="s">
        <v>1503</v>
      </c>
      <c r="E44" s="5" t="s">
        <v>622</v>
      </c>
    </row>
    <row r="45" customFormat="false" ht="25.5" hidden="false" customHeight="true" outlineLevel="0" collapsed="false">
      <c r="A45" s="4" t="s">
        <v>192</v>
      </c>
      <c r="B45" s="4" t="s">
        <v>1488</v>
      </c>
      <c r="C45" s="4" t="s">
        <v>1462</v>
      </c>
      <c r="D45" s="4" t="s">
        <v>1504</v>
      </c>
      <c r="E45" s="4" t="s">
        <v>622</v>
      </c>
    </row>
    <row r="46" customFormat="false" ht="25.5" hidden="false" customHeight="true" outlineLevel="0" collapsed="false">
      <c r="A46" s="5" t="s">
        <v>192</v>
      </c>
      <c r="B46" s="5" t="s">
        <v>1488</v>
      </c>
      <c r="C46" s="5" t="s">
        <v>1464</v>
      </c>
      <c r="D46" s="5" t="s">
        <v>1505</v>
      </c>
      <c r="E46" s="5" t="s">
        <v>622</v>
      </c>
    </row>
    <row r="47" customFormat="false" ht="25.5" hidden="false" customHeight="true" outlineLevel="0" collapsed="false">
      <c r="A47" s="4" t="s">
        <v>192</v>
      </c>
      <c r="B47" s="4" t="s">
        <v>1488</v>
      </c>
      <c r="C47" s="4" t="s">
        <v>1466</v>
      </c>
      <c r="D47" s="4" t="s">
        <v>1506</v>
      </c>
      <c r="E47" s="4" t="s">
        <v>622</v>
      </c>
    </row>
    <row r="48" customFormat="false" ht="25.5" hidden="false" customHeight="true" outlineLevel="0" collapsed="false">
      <c r="A48" s="5" t="s">
        <v>617</v>
      </c>
      <c r="B48" s="5" t="s">
        <v>1507</v>
      </c>
      <c r="C48" s="5" t="s">
        <v>1508</v>
      </c>
      <c r="D48" s="5" t="s">
        <v>1509</v>
      </c>
      <c r="E48" s="5" t="s">
        <v>622</v>
      </c>
    </row>
    <row r="49" customFormat="false" ht="25.5" hidden="false" customHeight="true" outlineLevel="0" collapsed="false">
      <c r="A49" s="4" t="s">
        <v>617</v>
      </c>
      <c r="B49" s="4" t="s">
        <v>1507</v>
      </c>
      <c r="C49" s="4" t="s">
        <v>1510</v>
      </c>
      <c r="D49" s="4" t="s">
        <v>1511</v>
      </c>
      <c r="E49" s="4" t="s">
        <v>622</v>
      </c>
    </row>
    <row r="50" customFormat="false" ht="25.5" hidden="false" customHeight="true" outlineLevel="0" collapsed="false">
      <c r="A50" s="5" t="s">
        <v>617</v>
      </c>
      <c r="B50" s="5" t="s">
        <v>1507</v>
      </c>
      <c r="C50" s="5" t="s">
        <v>1512</v>
      </c>
      <c r="D50" s="5" t="s">
        <v>1513</v>
      </c>
      <c r="E50" s="5" t="s">
        <v>622</v>
      </c>
    </row>
    <row r="51" customFormat="false" ht="25.5" hidden="false" customHeight="true" outlineLevel="0" collapsed="false">
      <c r="A51" s="4" t="s">
        <v>617</v>
      </c>
      <c r="B51" s="4" t="s">
        <v>1507</v>
      </c>
      <c r="C51" s="4" t="s">
        <v>1514</v>
      </c>
      <c r="D51" s="4" t="s">
        <v>1515</v>
      </c>
      <c r="E51" s="4" t="s">
        <v>622</v>
      </c>
    </row>
    <row r="52" customFormat="false" ht="25.5" hidden="false" customHeight="true" outlineLevel="0" collapsed="false">
      <c r="A52" s="5" t="s">
        <v>617</v>
      </c>
      <c r="B52" s="5" t="s">
        <v>1507</v>
      </c>
      <c r="C52" s="5" t="s">
        <v>1516</v>
      </c>
      <c r="D52" s="5" t="s">
        <v>1517</v>
      </c>
      <c r="E52" s="5" t="s">
        <v>622</v>
      </c>
    </row>
    <row r="53" customFormat="false" ht="25.5" hidden="false" customHeight="true" outlineLevel="0" collapsed="false">
      <c r="A53" s="4" t="s">
        <v>617</v>
      </c>
      <c r="B53" s="4" t="s">
        <v>1507</v>
      </c>
      <c r="C53" s="4" t="s">
        <v>1518</v>
      </c>
      <c r="D53" s="4" t="s">
        <v>1519</v>
      </c>
      <c r="E53" s="4" t="s">
        <v>622</v>
      </c>
    </row>
    <row r="54" customFormat="false" ht="25.5" hidden="false" customHeight="true" outlineLevel="0" collapsed="false">
      <c r="A54" s="5" t="s">
        <v>617</v>
      </c>
      <c r="B54" s="5" t="s">
        <v>1507</v>
      </c>
      <c r="C54" s="5" t="s">
        <v>1520</v>
      </c>
      <c r="D54" s="5" t="s">
        <v>1521</v>
      </c>
      <c r="E54" s="5" t="s">
        <v>622</v>
      </c>
    </row>
    <row r="55" customFormat="false" ht="25.5" hidden="false" customHeight="true" outlineLevel="0" collapsed="false">
      <c r="A55" s="4" t="s">
        <v>617</v>
      </c>
      <c r="B55" s="4" t="s">
        <v>1507</v>
      </c>
      <c r="C55" s="4" t="s">
        <v>1522</v>
      </c>
      <c r="D55" s="4" t="s">
        <v>1523</v>
      </c>
      <c r="E55" s="4" t="s">
        <v>622</v>
      </c>
    </row>
    <row r="56" customFormat="false" ht="25.5" hidden="false" customHeight="true" outlineLevel="0" collapsed="false">
      <c r="A56" s="5" t="s">
        <v>617</v>
      </c>
      <c r="B56" s="5" t="s">
        <v>1507</v>
      </c>
      <c r="C56" s="5" t="s">
        <v>1524</v>
      </c>
      <c r="D56" s="5" t="s">
        <v>1525</v>
      </c>
      <c r="E56" s="5" t="s">
        <v>622</v>
      </c>
    </row>
    <row r="57" customFormat="false" ht="25.5" hidden="false" customHeight="true" outlineLevel="0" collapsed="false">
      <c r="A57" s="4" t="s">
        <v>617</v>
      </c>
      <c r="B57" s="4" t="s">
        <v>1507</v>
      </c>
      <c r="C57" s="4" t="s">
        <v>1526</v>
      </c>
      <c r="D57" s="4" t="s">
        <v>1527</v>
      </c>
      <c r="E57" s="4" t="s">
        <v>622</v>
      </c>
    </row>
    <row r="58" customFormat="false" ht="25.5" hidden="false" customHeight="true" outlineLevel="0" collapsed="false">
      <c r="A58" s="5" t="s">
        <v>219</v>
      </c>
      <c r="B58" s="5" t="s">
        <v>1528</v>
      </c>
      <c r="C58" s="5" t="s">
        <v>1529</v>
      </c>
      <c r="D58" s="5" t="s">
        <v>1530</v>
      </c>
      <c r="E58" s="5" t="s">
        <v>622</v>
      </c>
    </row>
    <row r="59" customFormat="false" ht="25.5" hidden="false" customHeight="true" outlineLevel="0" collapsed="false">
      <c r="A59" s="4" t="s">
        <v>219</v>
      </c>
      <c r="B59" s="4" t="s">
        <v>1528</v>
      </c>
      <c r="C59" s="4" t="s">
        <v>1531</v>
      </c>
      <c r="D59" s="4" t="s">
        <v>1532</v>
      </c>
      <c r="E59" s="4" t="s">
        <v>622</v>
      </c>
    </row>
    <row r="60" customFormat="false" ht="25.5" hidden="false" customHeight="true" outlineLevel="0" collapsed="false">
      <c r="A60" s="5" t="s">
        <v>219</v>
      </c>
      <c r="B60" s="5" t="s">
        <v>1528</v>
      </c>
      <c r="C60" s="5" t="s">
        <v>1533</v>
      </c>
      <c r="D60" s="5" t="s">
        <v>1534</v>
      </c>
      <c r="E60" s="5" t="s">
        <v>622</v>
      </c>
    </row>
    <row r="61" customFormat="false" ht="25.5" hidden="false" customHeight="true" outlineLevel="0" collapsed="false">
      <c r="A61" s="4" t="s">
        <v>219</v>
      </c>
      <c r="B61" s="4" t="s">
        <v>1528</v>
      </c>
      <c r="C61" s="4" t="s">
        <v>1535</v>
      </c>
      <c r="D61" s="4" t="s">
        <v>1536</v>
      </c>
      <c r="E61" s="4" t="s">
        <v>622</v>
      </c>
    </row>
    <row r="62" customFormat="false" ht="25.5" hidden="false" customHeight="true" outlineLevel="0" collapsed="false">
      <c r="A62" s="5" t="s">
        <v>219</v>
      </c>
      <c r="B62" s="5" t="s">
        <v>1528</v>
      </c>
      <c r="C62" s="5" t="s">
        <v>1537</v>
      </c>
      <c r="D62" s="5" t="s">
        <v>1538</v>
      </c>
      <c r="E62" s="5" t="s">
        <v>622</v>
      </c>
    </row>
    <row r="63" customFormat="false" ht="25.5" hidden="false" customHeight="true" outlineLevel="0" collapsed="false">
      <c r="A63" s="4" t="s">
        <v>219</v>
      </c>
      <c r="B63" s="4" t="s">
        <v>1528</v>
      </c>
      <c r="C63" s="4" t="s">
        <v>1539</v>
      </c>
      <c r="D63" s="4" t="s">
        <v>1540</v>
      </c>
      <c r="E63" s="4" t="s">
        <v>622</v>
      </c>
    </row>
    <row r="64" customFormat="false" ht="25.5" hidden="false" customHeight="true" outlineLevel="0" collapsed="false">
      <c r="A64" s="5" t="s">
        <v>219</v>
      </c>
      <c r="B64" s="5" t="s">
        <v>1528</v>
      </c>
      <c r="C64" s="5" t="s">
        <v>1541</v>
      </c>
      <c r="D64" s="5" t="s">
        <v>1542</v>
      </c>
      <c r="E64" s="5" t="s">
        <v>622</v>
      </c>
    </row>
    <row r="65" customFormat="false" ht="25.5" hidden="false" customHeight="true" outlineLevel="0" collapsed="false">
      <c r="A65" s="4" t="s">
        <v>219</v>
      </c>
      <c r="B65" s="4" t="s">
        <v>1528</v>
      </c>
      <c r="C65" s="4" t="s">
        <v>1543</v>
      </c>
      <c r="D65" s="4" t="s">
        <v>1544</v>
      </c>
      <c r="E65" s="4" t="s">
        <v>622</v>
      </c>
    </row>
    <row r="66" customFormat="false" ht="25.5" hidden="false" customHeight="true" outlineLevel="0" collapsed="false">
      <c r="A66" s="5" t="s">
        <v>219</v>
      </c>
      <c r="B66" s="5" t="s">
        <v>1528</v>
      </c>
      <c r="C66" s="5" t="s">
        <v>1545</v>
      </c>
      <c r="D66" s="5" t="s">
        <v>1546</v>
      </c>
      <c r="E66" s="5" t="s">
        <v>622</v>
      </c>
    </row>
    <row r="67" customFormat="false" ht="25.5" hidden="false" customHeight="true" outlineLevel="0" collapsed="false">
      <c r="A67" s="4" t="s">
        <v>219</v>
      </c>
      <c r="B67" s="4" t="s">
        <v>1528</v>
      </c>
      <c r="C67" s="4" t="s">
        <v>1547</v>
      </c>
      <c r="D67" s="4" t="s">
        <v>1548</v>
      </c>
      <c r="E67" s="4" t="s">
        <v>622</v>
      </c>
    </row>
    <row r="68" customFormat="false" ht="25.5" hidden="false" customHeight="true" outlineLevel="0" collapsed="false">
      <c r="A68" s="5" t="s">
        <v>219</v>
      </c>
      <c r="B68" s="5" t="s">
        <v>1528</v>
      </c>
      <c r="C68" s="5" t="s">
        <v>1549</v>
      </c>
      <c r="D68" s="5" t="s">
        <v>1550</v>
      </c>
      <c r="E68" s="5" t="s">
        <v>622</v>
      </c>
    </row>
    <row r="69" customFormat="false" ht="25.5" hidden="false" customHeight="true" outlineLevel="0" collapsed="false">
      <c r="A69" s="4" t="s">
        <v>219</v>
      </c>
      <c r="B69" s="4" t="s">
        <v>1528</v>
      </c>
      <c r="C69" s="4" t="s">
        <v>1551</v>
      </c>
      <c r="D69" s="4" t="s">
        <v>1552</v>
      </c>
      <c r="E69" s="4" t="s">
        <v>622</v>
      </c>
    </row>
    <row r="70" customFormat="false" ht="25.5" hidden="false" customHeight="true" outlineLevel="0" collapsed="false">
      <c r="A70" s="5" t="s">
        <v>691</v>
      </c>
      <c r="B70" s="5" t="s">
        <v>1553</v>
      </c>
      <c r="C70" s="5" t="s">
        <v>1554</v>
      </c>
      <c r="D70" s="5" t="s">
        <v>1555</v>
      </c>
      <c r="E70" s="5" t="s">
        <v>622</v>
      </c>
    </row>
    <row r="71" customFormat="false" ht="25.5" hidden="false" customHeight="true" outlineLevel="0" collapsed="false">
      <c r="A71" s="4" t="s">
        <v>691</v>
      </c>
      <c r="B71" s="4" t="s">
        <v>1553</v>
      </c>
      <c r="C71" s="4" t="s">
        <v>1556</v>
      </c>
      <c r="D71" s="4" t="s">
        <v>1557</v>
      </c>
      <c r="E71" s="4" t="s">
        <v>622</v>
      </c>
    </row>
    <row r="72" customFormat="false" ht="25.5" hidden="false" customHeight="true" outlineLevel="0" collapsed="false">
      <c r="A72" s="5" t="s">
        <v>691</v>
      </c>
      <c r="B72" s="5" t="s">
        <v>1553</v>
      </c>
      <c r="C72" s="5" t="s">
        <v>1558</v>
      </c>
      <c r="D72" s="5" t="s">
        <v>1559</v>
      </c>
      <c r="E72" s="5" t="s">
        <v>622</v>
      </c>
    </row>
    <row r="73" customFormat="false" ht="25.5" hidden="false" customHeight="true" outlineLevel="0" collapsed="false">
      <c r="A73" s="4" t="s">
        <v>691</v>
      </c>
      <c r="B73" s="4" t="s">
        <v>1553</v>
      </c>
      <c r="C73" s="4" t="s">
        <v>1560</v>
      </c>
      <c r="D73" s="4" t="s">
        <v>1561</v>
      </c>
      <c r="E73" s="4" t="s">
        <v>622</v>
      </c>
    </row>
    <row r="74" customFormat="false" ht="25.5" hidden="false" customHeight="true" outlineLevel="0" collapsed="false">
      <c r="A74" s="5" t="s">
        <v>691</v>
      </c>
      <c r="B74" s="5" t="s">
        <v>1553</v>
      </c>
      <c r="C74" s="5" t="s">
        <v>1562</v>
      </c>
      <c r="D74" s="5" t="s">
        <v>1563</v>
      </c>
      <c r="E74" s="5" t="s">
        <v>622</v>
      </c>
    </row>
    <row r="75" customFormat="false" ht="25.5" hidden="false" customHeight="true" outlineLevel="0" collapsed="false">
      <c r="A75" s="4" t="s">
        <v>691</v>
      </c>
      <c r="B75" s="4" t="s">
        <v>1553</v>
      </c>
      <c r="C75" s="4" t="s">
        <v>1564</v>
      </c>
      <c r="D75" s="4" t="s">
        <v>1451</v>
      </c>
      <c r="E75" s="4" t="s">
        <v>622</v>
      </c>
    </row>
    <row r="76" customFormat="false" ht="25.5" hidden="false" customHeight="true" outlineLevel="0" collapsed="false">
      <c r="A76" s="5" t="s">
        <v>248</v>
      </c>
      <c r="B76" s="5" t="s">
        <v>1565</v>
      </c>
      <c r="C76" s="5" t="s">
        <v>1433</v>
      </c>
      <c r="D76" s="5" t="s">
        <v>1441</v>
      </c>
      <c r="E76" s="5" t="s">
        <v>622</v>
      </c>
    </row>
    <row r="77" customFormat="false" ht="25.5" hidden="false" customHeight="true" outlineLevel="0" collapsed="false">
      <c r="A77" s="4" t="s">
        <v>248</v>
      </c>
      <c r="B77" s="4" t="s">
        <v>1565</v>
      </c>
      <c r="C77" s="4" t="s">
        <v>1440</v>
      </c>
      <c r="D77" s="4" t="s">
        <v>1566</v>
      </c>
      <c r="E77" s="4" t="s">
        <v>622</v>
      </c>
    </row>
    <row r="78" customFormat="false" ht="25.5" hidden="false" customHeight="true" outlineLevel="0" collapsed="false">
      <c r="A78" s="5" t="s">
        <v>248</v>
      </c>
      <c r="B78" s="5" t="s">
        <v>1565</v>
      </c>
      <c r="C78" s="5" t="s">
        <v>1454</v>
      </c>
      <c r="D78" s="5" t="s">
        <v>1567</v>
      </c>
      <c r="E78" s="5" t="s">
        <v>622</v>
      </c>
    </row>
    <row r="79" customFormat="false" ht="25.5" hidden="false" customHeight="true" outlineLevel="0" collapsed="false">
      <c r="A79" s="4" t="s">
        <v>248</v>
      </c>
      <c r="B79" s="4" t="s">
        <v>1565</v>
      </c>
      <c r="C79" s="4" t="s">
        <v>1468</v>
      </c>
      <c r="D79" s="4" t="s">
        <v>1568</v>
      </c>
      <c r="E79" s="4" t="s">
        <v>622</v>
      </c>
    </row>
    <row r="80" customFormat="false" ht="25.5" hidden="false" customHeight="true" outlineLevel="0" collapsed="false">
      <c r="A80" s="5" t="s">
        <v>248</v>
      </c>
      <c r="B80" s="5" t="s">
        <v>1565</v>
      </c>
      <c r="C80" s="5" t="s">
        <v>1480</v>
      </c>
      <c r="D80" s="5" t="s">
        <v>1569</v>
      </c>
      <c r="E80" s="5" t="s">
        <v>622</v>
      </c>
    </row>
    <row r="81" customFormat="false" ht="25.5" hidden="false" customHeight="true" outlineLevel="0" collapsed="false">
      <c r="A81" s="4" t="s">
        <v>248</v>
      </c>
      <c r="B81" s="4" t="s">
        <v>1565</v>
      </c>
      <c r="C81" s="4" t="s">
        <v>1570</v>
      </c>
      <c r="D81" s="4" t="s">
        <v>1571</v>
      </c>
      <c r="E81" s="4" t="s">
        <v>622</v>
      </c>
    </row>
    <row r="82" customFormat="false" ht="25.5" hidden="false" customHeight="true" outlineLevel="0" collapsed="false">
      <c r="A82" s="5" t="s">
        <v>248</v>
      </c>
      <c r="B82" s="5" t="s">
        <v>1565</v>
      </c>
      <c r="C82" s="5" t="s">
        <v>1572</v>
      </c>
      <c r="D82" s="5" t="s">
        <v>1573</v>
      </c>
      <c r="E82" s="5" t="s">
        <v>622</v>
      </c>
    </row>
    <row r="83" customFormat="false" ht="25.5" hidden="false" customHeight="true" outlineLevel="0" collapsed="false">
      <c r="A83" s="4" t="s">
        <v>248</v>
      </c>
      <c r="B83" s="4" t="s">
        <v>1565</v>
      </c>
      <c r="C83" s="4" t="s">
        <v>1574</v>
      </c>
      <c r="D83" s="4" t="s">
        <v>1575</v>
      </c>
      <c r="E83" s="4" t="s">
        <v>622</v>
      </c>
    </row>
    <row r="84" customFormat="false" ht="25.5" hidden="false" customHeight="true" outlineLevel="0" collapsed="false">
      <c r="A84" s="5" t="s">
        <v>248</v>
      </c>
      <c r="B84" s="5" t="s">
        <v>1565</v>
      </c>
      <c r="C84" s="5" t="s">
        <v>1576</v>
      </c>
      <c r="D84" s="5" t="s">
        <v>1577</v>
      </c>
      <c r="E84" s="5" t="s">
        <v>622</v>
      </c>
    </row>
    <row r="85" customFormat="false" ht="25.5" hidden="false" customHeight="true" outlineLevel="0" collapsed="false">
      <c r="A85" s="4" t="s">
        <v>248</v>
      </c>
      <c r="B85" s="4" t="s">
        <v>1565</v>
      </c>
      <c r="C85" s="4" t="s">
        <v>1578</v>
      </c>
      <c r="D85" s="4" t="s">
        <v>1579</v>
      </c>
      <c r="E85" s="4" t="s">
        <v>622</v>
      </c>
    </row>
    <row r="86" customFormat="false" ht="25.5" hidden="false" customHeight="true" outlineLevel="0" collapsed="false">
      <c r="A86" s="5" t="s">
        <v>248</v>
      </c>
      <c r="B86" s="5" t="s">
        <v>1565</v>
      </c>
      <c r="C86" s="5" t="s">
        <v>1580</v>
      </c>
      <c r="D86" s="5" t="s">
        <v>1581</v>
      </c>
      <c r="E86" s="5" t="s">
        <v>622</v>
      </c>
    </row>
    <row r="87" customFormat="false" ht="25.5" hidden="false" customHeight="true" outlineLevel="0" collapsed="false">
      <c r="A87" s="4" t="s">
        <v>248</v>
      </c>
      <c r="B87" s="4" t="s">
        <v>1565</v>
      </c>
      <c r="C87" s="4" t="s">
        <v>1582</v>
      </c>
      <c r="D87" s="4" t="s">
        <v>1583</v>
      </c>
      <c r="E87" s="4" t="s">
        <v>622</v>
      </c>
    </row>
    <row r="88" customFormat="false" ht="25.5" hidden="false" customHeight="true" outlineLevel="0" collapsed="false">
      <c r="A88" s="5" t="s">
        <v>248</v>
      </c>
      <c r="B88" s="5" t="s">
        <v>1565</v>
      </c>
      <c r="C88" s="5" t="s">
        <v>1584</v>
      </c>
      <c r="D88" s="5" t="s">
        <v>1585</v>
      </c>
      <c r="E88" s="5" t="s">
        <v>622</v>
      </c>
    </row>
    <row r="89" customFormat="false" ht="25.5" hidden="false" customHeight="true" outlineLevel="0" collapsed="false">
      <c r="A89" s="4" t="s">
        <v>248</v>
      </c>
      <c r="B89" s="4" t="s">
        <v>1565</v>
      </c>
      <c r="C89" s="4" t="s">
        <v>1586</v>
      </c>
      <c r="D89" s="4" t="s">
        <v>1587</v>
      </c>
      <c r="E89" s="4" t="s">
        <v>622</v>
      </c>
    </row>
    <row r="90" customFormat="false" ht="25.5" hidden="false" customHeight="true" outlineLevel="0" collapsed="false">
      <c r="A90" s="5" t="s">
        <v>248</v>
      </c>
      <c r="B90" s="5" t="s">
        <v>1588</v>
      </c>
      <c r="C90" s="5" t="s">
        <v>1433</v>
      </c>
      <c r="D90" s="5" t="s">
        <v>1589</v>
      </c>
      <c r="E90" s="5" t="s">
        <v>622</v>
      </c>
    </row>
    <row r="91" customFormat="false" ht="25.5" hidden="false" customHeight="true" outlineLevel="0" collapsed="false">
      <c r="A91" s="4" t="s">
        <v>248</v>
      </c>
      <c r="B91" s="4" t="s">
        <v>1588</v>
      </c>
      <c r="C91" s="4" t="s">
        <v>1440</v>
      </c>
      <c r="D91" s="4" t="s">
        <v>1590</v>
      </c>
      <c r="E91" s="4" t="s">
        <v>622</v>
      </c>
    </row>
    <row r="92" customFormat="false" ht="25.5" hidden="false" customHeight="true" outlineLevel="0" collapsed="false">
      <c r="A92" s="5" t="s">
        <v>248</v>
      </c>
      <c r="B92" s="5" t="s">
        <v>1588</v>
      </c>
      <c r="C92" s="5" t="s">
        <v>1454</v>
      </c>
      <c r="D92" s="5" t="s">
        <v>1591</v>
      </c>
      <c r="E92" s="5" t="s">
        <v>622</v>
      </c>
    </row>
    <row r="93" customFormat="false" ht="25.5" hidden="false" customHeight="true" outlineLevel="0" collapsed="false">
      <c r="A93" s="4" t="s">
        <v>248</v>
      </c>
      <c r="B93" s="4" t="s">
        <v>1588</v>
      </c>
      <c r="C93" s="4" t="s">
        <v>1468</v>
      </c>
      <c r="D93" s="4" t="s">
        <v>1592</v>
      </c>
      <c r="E93" s="4" t="s">
        <v>622</v>
      </c>
    </row>
    <row r="94" customFormat="false" ht="25.5" hidden="false" customHeight="true" outlineLevel="0" collapsed="false">
      <c r="A94" s="5" t="s">
        <v>248</v>
      </c>
      <c r="B94" s="5" t="s">
        <v>1588</v>
      </c>
      <c r="C94" s="5" t="s">
        <v>1480</v>
      </c>
      <c r="D94" s="5" t="s">
        <v>1593</v>
      </c>
      <c r="E94" s="5" t="s">
        <v>622</v>
      </c>
    </row>
    <row r="95" customFormat="false" ht="25.5" hidden="false" customHeight="true" outlineLevel="0" collapsed="false">
      <c r="A95" s="4" t="s">
        <v>248</v>
      </c>
      <c r="B95" s="4" t="s">
        <v>1588</v>
      </c>
      <c r="C95" s="4" t="s">
        <v>1570</v>
      </c>
      <c r="D95" s="4" t="s">
        <v>1594</v>
      </c>
      <c r="E95" s="4" t="s">
        <v>622</v>
      </c>
    </row>
    <row r="96" customFormat="false" ht="25.5" hidden="false" customHeight="true" outlineLevel="0" collapsed="false">
      <c r="A96" s="5" t="s">
        <v>248</v>
      </c>
      <c r="B96" s="5" t="s">
        <v>1588</v>
      </c>
      <c r="C96" s="5" t="s">
        <v>1572</v>
      </c>
      <c r="D96" s="5" t="s">
        <v>1595</v>
      </c>
      <c r="E96" s="5" t="s">
        <v>622</v>
      </c>
    </row>
    <row r="97" customFormat="false" ht="25.5" hidden="false" customHeight="true" outlineLevel="0" collapsed="false">
      <c r="A97" s="4" t="s">
        <v>248</v>
      </c>
      <c r="B97" s="4" t="s">
        <v>1588</v>
      </c>
      <c r="C97" s="4" t="s">
        <v>1574</v>
      </c>
      <c r="D97" s="4" t="s">
        <v>1596</v>
      </c>
      <c r="E97" s="4" t="s">
        <v>622</v>
      </c>
    </row>
    <row r="98" customFormat="false" ht="25.5" hidden="false" customHeight="true" outlineLevel="0" collapsed="false">
      <c r="A98" s="5" t="s">
        <v>248</v>
      </c>
      <c r="B98" s="5" t="s">
        <v>1588</v>
      </c>
      <c r="C98" s="5" t="s">
        <v>1576</v>
      </c>
      <c r="D98" s="5" t="s">
        <v>1597</v>
      </c>
      <c r="E98" s="5" t="s">
        <v>622</v>
      </c>
    </row>
    <row r="99" customFormat="false" ht="25.5" hidden="false" customHeight="true" outlineLevel="0" collapsed="false">
      <c r="A99" s="4" t="s">
        <v>248</v>
      </c>
      <c r="B99" s="4" t="s">
        <v>1588</v>
      </c>
      <c r="C99" s="4" t="s">
        <v>1578</v>
      </c>
      <c r="D99" s="4" t="s">
        <v>1598</v>
      </c>
      <c r="E99" s="4" t="s">
        <v>622</v>
      </c>
    </row>
    <row r="100" customFormat="false" ht="25.5" hidden="false" customHeight="true" outlineLevel="0" collapsed="false">
      <c r="A100" s="5" t="s">
        <v>248</v>
      </c>
      <c r="B100" s="5" t="s">
        <v>1588</v>
      </c>
      <c r="C100" s="5" t="s">
        <v>1580</v>
      </c>
      <c r="D100" s="5" t="s">
        <v>1599</v>
      </c>
      <c r="E100" s="5" t="s">
        <v>622</v>
      </c>
    </row>
    <row r="101" customFormat="false" ht="25.5" hidden="false" customHeight="true" outlineLevel="0" collapsed="false">
      <c r="A101" s="4" t="s">
        <v>248</v>
      </c>
      <c r="B101" s="4" t="s">
        <v>1600</v>
      </c>
      <c r="C101" s="4" t="s">
        <v>1433</v>
      </c>
      <c r="D101" s="4" t="s">
        <v>1601</v>
      </c>
      <c r="E101" s="4" t="s">
        <v>622</v>
      </c>
    </row>
    <row r="102" customFormat="false" ht="25.5" hidden="false" customHeight="true" outlineLevel="0" collapsed="false">
      <c r="A102" s="5" t="s">
        <v>248</v>
      </c>
      <c r="B102" s="5" t="s">
        <v>1600</v>
      </c>
      <c r="C102" s="5" t="s">
        <v>1440</v>
      </c>
      <c r="D102" s="5" t="s">
        <v>1602</v>
      </c>
      <c r="E102" s="5" t="s">
        <v>622</v>
      </c>
    </row>
    <row r="103" customFormat="false" ht="25.5" hidden="false" customHeight="true" outlineLevel="0" collapsed="false">
      <c r="A103" s="4" t="s">
        <v>248</v>
      </c>
      <c r="B103" s="4" t="s">
        <v>1600</v>
      </c>
      <c r="C103" s="4" t="s">
        <v>1454</v>
      </c>
      <c r="D103" s="4" t="s">
        <v>1603</v>
      </c>
      <c r="E103" s="4" t="s">
        <v>622</v>
      </c>
    </row>
    <row r="104" customFormat="false" ht="25.5" hidden="false" customHeight="true" outlineLevel="0" collapsed="false">
      <c r="A104" s="5" t="s">
        <v>248</v>
      </c>
      <c r="B104" s="5" t="s">
        <v>1600</v>
      </c>
      <c r="C104" s="5" t="s">
        <v>1468</v>
      </c>
      <c r="D104" s="5" t="s">
        <v>1604</v>
      </c>
      <c r="E104" s="5" t="s">
        <v>622</v>
      </c>
    </row>
    <row r="105" customFormat="false" ht="25.5" hidden="false" customHeight="true" outlineLevel="0" collapsed="false">
      <c r="A105" s="4" t="s">
        <v>248</v>
      </c>
      <c r="B105" s="4" t="s">
        <v>1600</v>
      </c>
      <c r="C105" s="4" t="s">
        <v>1480</v>
      </c>
      <c r="D105" s="4" t="s">
        <v>1605</v>
      </c>
      <c r="E105" s="4" t="s">
        <v>622</v>
      </c>
    </row>
    <row r="106" customFormat="false" ht="25.5" hidden="false" customHeight="true" outlineLevel="0" collapsed="false">
      <c r="A106" s="5" t="s">
        <v>248</v>
      </c>
      <c r="B106" s="5" t="s">
        <v>1600</v>
      </c>
      <c r="C106" s="5" t="s">
        <v>1570</v>
      </c>
      <c r="D106" s="5" t="s">
        <v>1606</v>
      </c>
      <c r="E106" s="5" t="s">
        <v>622</v>
      </c>
    </row>
    <row r="107" customFormat="false" ht="25.5" hidden="false" customHeight="true" outlineLevel="0" collapsed="false">
      <c r="A107" s="4" t="s">
        <v>248</v>
      </c>
      <c r="B107" s="4" t="s">
        <v>1600</v>
      </c>
      <c r="C107" s="4" t="s">
        <v>1572</v>
      </c>
      <c r="D107" s="4" t="s">
        <v>1607</v>
      </c>
      <c r="E107" s="4" t="s">
        <v>622</v>
      </c>
    </row>
    <row r="108" customFormat="false" ht="25.5" hidden="false" customHeight="true" outlineLevel="0" collapsed="false">
      <c r="A108" s="5" t="s">
        <v>248</v>
      </c>
      <c r="B108" s="5" t="s">
        <v>1600</v>
      </c>
      <c r="C108" s="5" t="s">
        <v>1574</v>
      </c>
      <c r="D108" s="5" t="s">
        <v>1608</v>
      </c>
      <c r="E108" s="5" t="s">
        <v>622</v>
      </c>
    </row>
    <row r="109" customFormat="false" ht="25.5" hidden="false" customHeight="true" outlineLevel="0" collapsed="false">
      <c r="A109" s="4" t="s">
        <v>248</v>
      </c>
      <c r="B109" s="4" t="s">
        <v>1600</v>
      </c>
      <c r="C109" s="4" t="s">
        <v>1576</v>
      </c>
      <c r="D109" s="4" t="s">
        <v>1609</v>
      </c>
      <c r="E109" s="4" t="s">
        <v>622</v>
      </c>
    </row>
    <row r="110" customFormat="false" ht="25.5" hidden="false" customHeight="true" outlineLevel="0" collapsed="false">
      <c r="A110" s="5" t="s">
        <v>248</v>
      </c>
      <c r="B110" s="5" t="s">
        <v>1610</v>
      </c>
      <c r="C110" s="5" t="s">
        <v>1611</v>
      </c>
      <c r="D110" s="5" t="s">
        <v>1612</v>
      </c>
      <c r="E110" s="5" t="s">
        <v>622</v>
      </c>
    </row>
    <row r="111" customFormat="false" ht="25.5" hidden="false" customHeight="true" outlineLevel="0" collapsed="false">
      <c r="A111" s="4" t="s">
        <v>248</v>
      </c>
      <c r="B111" s="4" t="s">
        <v>1610</v>
      </c>
      <c r="C111" s="4" t="s">
        <v>1454</v>
      </c>
      <c r="D111" s="4" t="s">
        <v>1613</v>
      </c>
      <c r="E111" s="4" t="s">
        <v>622</v>
      </c>
    </row>
    <row r="112" customFormat="false" ht="25.5" hidden="false" customHeight="true" outlineLevel="0" collapsed="false">
      <c r="A112" s="5" t="s">
        <v>248</v>
      </c>
      <c r="B112" s="5" t="s">
        <v>1610</v>
      </c>
      <c r="C112" s="5" t="s">
        <v>1468</v>
      </c>
      <c r="D112" s="5" t="s">
        <v>1614</v>
      </c>
      <c r="E112" s="5" t="s">
        <v>622</v>
      </c>
    </row>
    <row r="113" customFormat="false" ht="25.5" hidden="false" customHeight="true" outlineLevel="0" collapsed="false">
      <c r="A113" s="4" t="s">
        <v>248</v>
      </c>
      <c r="B113" s="4" t="s">
        <v>1610</v>
      </c>
      <c r="C113" s="4" t="s">
        <v>1480</v>
      </c>
      <c r="D113" s="4" t="s">
        <v>1615</v>
      </c>
      <c r="E113" s="4" t="s">
        <v>622</v>
      </c>
    </row>
    <row r="114" customFormat="false" ht="25.5" hidden="false" customHeight="true" outlineLevel="0" collapsed="false">
      <c r="A114" s="5" t="s">
        <v>248</v>
      </c>
      <c r="B114" s="5" t="s">
        <v>1610</v>
      </c>
      <c r="C114" s="5" t="s">
        <v>1570</v>
      </c>
      <c r="D114" s="5" t="s">
        <v>1616</v>
      </c>
      <c r="E114" s="5" t="s">
        <v>622</v>
      </c>
    </row>
    <row r="115" customFormat="false" ht="25.5" hidden="false" customHeight="true" outlineLevel="0" collapsed="false">
      <c r="A115" s="4" t="s">
        <v>248</v>
      </c>
      <c r="B115" s="4" t="s">
        <v>1610</v>
      </c>
      <c r="C115" s="4" t="s">
        <v>1572</v>
      </c>
      <c r="D115" s="4" t="s">
        <v>1617</v>
      </c>
      <c r="E115" s="4" t="s">
        <v>622</v>
      </c>
    </row>
    <row r="116" customFormat="false" ht="25.5" hidden="false" customHeight="true" outlineLevel="0" collapsed="false">
      <c r="A116" s="5" t="s">
        <v>248</v>
      </c>
      <c r="B116" s="5" t="s">
        <v>1610</v>
      </c>
      <c r="C116" s="5" t="s">
        <v>1574</v>
      </c>
      <c r="D116" s="5" t="s">
        <v>1618</v>
      </c>
      <c r="E116" s="5" t="s">
        <v>622</v>
      </c>
    </row>
    <row r="117" customFormat="false" ht="25.5" hidden="false" customHeight="true" outlineLevel="0" collapsed="false">
      <c r="A117" s="4" t="s">
        <v>248</v>
      </c>
      <c r="B117" s="4" t="s">
        <v>1610</v>
      </c>
      <c r="C117" s="4" t="s">
        <v>1576</v>
      </c>
      <c r="D117" s="4" t="s">
        <v>1619</v>
      </c>
      <c r="E117" s="4" t="s">
        <v>622</v>
      </c>
    </row>
    <row r="118" customFormat="false" ht="25.5" hidden="false" customHeight="true" outlineLevel="0" collapsed="false">
      <c r="A118" s="5" t="s">
        <v>248</v>
      </c>
      <c r="B118" s="5" t="s">
        <v>1610</v>
      </c>
      <c r="C118" s="5" t="s">
        <v>1620</v>
      </c>
      <c r="D118" s="5" t="s">
        <v>1621</v>
      </c>
      <c r="E118" s="5" t="s">
        <v>622</v>
      </c>
    </row>
    <row r="119" customFormat="false" ht="25.5" hidden="false" customHeight="true" outlineLevel="0" collapsed="false">
      <c r="A119" s="4" t="s">
        <v>367</v>
      </c>
      <c r="B119" s="4" t="s">
        <v>1622</v>
      </c>
      <c r="C119" s="4" t="s">
        <v>1623</v>
      </c>
      <c r="D119" s="4" t="s">
        <v>1624</v>
      </c>
      <c r="E119" s="4" t="s">
        <v>622</v>
      </c>
    </row>
    <row r="120" customFormat="false" ht="25.5" hidden="false" customHeight="true" outlineLevel="0" collapsed="false">
      <c r="A120" s="5" t="s">
        <v>367</v>
      </c>
      <c r="B120" s="5" t="s">
        <v>1622</v>
      </c>
      <c r="C120" s="5" t="s">
        <v>1625</v>
      </c>
      <c r="D120" s="5" t="s">
        <v>1626</v>
      </c>
      <c r="E120" s="5" t="s">
        <v>622</v>
      </c>
    </row>
    <row r="121" customFormat="false" ht="25.5" hidden="false" customHeight="true" outlineLevel="0" collapsed="false">
      <c r="A121" s="4" t="s">
        <v>367</v>
      </c>
      <c r="B121" s="4" t="s">
        <v>1622</v>
      </c>
      <c r="C121" s="4" t="s">
        <v>1627</v>
      </c>
      <c r="D121" s="4" t="s">
        <v>1628</v>
      </c>
      <c r="E121" s="4" t="s">
        <v>622</v>
      </c>
    </row>
    <row r="122" customFormat="false" ht="25.5" hidden="false" customHeight="true" outlineLevel="0" collapsed="false">
      <c r="A122" s="5" t="s">
        <v>367</v>
      </c>
      <c r="B122" s="5" t="s">
        <v>1629</v>
      </c>
      <c r="C122" s="5" t="s">
        <v>1630</v>
      </c>
      <c r="D122" s="5" t="s">
        <v>1631</v>
      </c>
      <c r="E122" s="5" t="s">
        <v>622</v>
      </c>
    </row>
    <row r="123" customFormat="false" ht="25.5" hidden="false" customHeight="true" outlineLevel="0" collapsed="false">
      <c r="A123" s="4" t="s">
        <v>367</v>
      </c>
      <c r="B123" s="4" t="s">
        <v>1629</v>
      </c>
      <c r="C123" s="4" t="s">
        <v>1632</v>
      </c>
      <c r="D123" s="4" t="s">
        <v>1633</v>
      </c>
      <c r="E123" s="4" t="s">
        <v>622</v>
      </c>
    </row>
    <row r="124" customFormat="false" ht="25.5" hidden="false" customHeight="true" outlineLevel="0" collapsed="false">
      <c r="A124" s="5" t="s">
        <v>367</v>
      </c>
      <c r="B124" s="5" t="s">
        <v>1629</v>
      </c>
      <c r="C124" s="5" t="s">
        <v>1634</v>
      </c>
      <c r="D124" s="5" t="s">
        <v>1635</v>
      </c>
      <c r="E124" s="5" t="s">
        <v>622</v>
      </c>
    </row>
    <row r="125" customFormat="false" ht="25.5" hidden="false" customHeight="true" outlineLevel="0" collapsed="false">
      <c r="A125" s="4" t="s">
        <v>367</v>
      </c>
      <c r="B125" s="4" t="s">
        <v>1629</v>
      </c>
      <c r="C125" s="4" t="s">
        <v>1636</v>
      </c>
      <c r="D125" s="4" t="s">
        <v>1637</v>
      </c>
      <c r="E125" s="4" t="s">
        <v>622</v>
      </c>
    </row>
    <row r="126" customFormat="false" ht="25.5" hidden="false" customHeight="true" outlineLevel="0" collapsed="false">
      <c r="A126" s="5" t="s">
        <v>367</v>
      </c>
      <c r="B126" s="5" t="s">
        <v>1629</v>
      </c>
      <c r="C126" s="5" t="s">
        <v>1638</v>
      </c>
      <c r="D126" s="5" t="s">
        <v>1639</v>
      </c>
      <c r="E126" s="5" t="s">
        <v>622</v>
      </c>
    </row>
    <row r="127" customFormat="false" ht="25.5" hidden="false" customHeight="true" outlineLevel="0" collapsed="false">
      <c r="A127" s="4" t="s">
        <v>367</v>
      </c>
      <c r="B127" s="4" t="s">
        <v>1629</v>
      </c>
      <c r="C127" s="4" t="s">
        <v>1640</v>
      </c>
      <c r="D127" s="4" t="s">
        <v>1641</v>
      </c>
      <c r="E127" s="4" t="s">
        <v>622</v>
      </c>
    </row>
    <row r="128" customFormat="false" ht="25.5" hidden="false" customHeight="true" outlineLevel="0" collapsed="false">
      <c r="A128" s="5" t="s">
        <v>367</v>
      </c>
      <c r="B128" s="5" t="s">
        <v>1629</v>
      </c>
      <c r="C128" s="5" t="s">
        <v>1642</v>
      </c>
      <c r="D128" s="5" t="s">
        <v>1643</v>
      </c>
      <c r="E128" s="5" t="s">
        <v>622</v>
      </c>
    </row>
    <row r="129" customFormat="false" ht="25.5" hidden="false" customHeight="true" outlineLevel="0" collapsed="false">
      <c r="A129" s="4" t="s">
        <v>367</v>
      </c>
      <c r="B129" s="4" t="s">
        <v>1629</v>
      </c>
      <c r="C129" s="4" t="s">
        <v>1644</v>
      </c>
      <c r="D129" s="4" t="s">
        <v>1645</v>
      </c>
      <c r="E129" s="4" t="s">
        <v>622</v>
      </c>
    </row>
    <row r="130" customFormat="false" ht="25.5" hidden="false" customHeight="true" outlineLevel="0" collapsed="false">
      <c r="A130" s="5" t="s">
        <v>367</v>
      </c>
      <c r="B130" s="5" t="s">
        <v>1629</v>
      </c>
      <c r="C130" s="5" t="s">
        <v>1646</v>
      </c>
      <c r="D130" s="5" t="s">
        <v>1647</v>
      </c>
      <c r="E130" s="5" t="s">
        <v>622</v>
      </c>
    </row>
    <row r="131" customFormat="false" ht="25.5" hidden="false" customHeight="true" outlineLevel="0" collapsed="false">
      <c r="A131" s="4" t="s">
        <v>368</v>
      </c>
      <c r="B131" s="4" t="s">
        <v>1648</v>
      </c>
      <c r="C131" s="4" t="s">
        <v>1649</v>
      </c>
      <c r="D131" s="4" t="s">
        <v>1650</v>
      </c>
      <c r="E131" s="4" t="s">
        <v>622</v>
      </c>
    </row>
    <row r="132" customFormat="false" ht="25.5" hidden="false" customHeight="true" outlineLevel="0" collapsed="false">
      <c r="A132" s="5" t="s">
        <v>368</v>
      </c>
      <c r="B132" s="5" t="s">
        <v>1648</v>
      </c>
      <c r="C132" s="5" t="s">
        <v>1651</v>
      </c>
      <c r="D132" s="5" t="s">
        <v>1242</v>
      </c>
      <c r="E132" s="5" t="s">
        <v>622</v>
      </c>
    </row>
    <row r="133" customFormat="false" ht="25.5" hidden="false" customHeight="true" outlineLevel="0" collapsed="false">
      <c r="A133" s="4" t="s">
        <v>368</v>
      </c>
      <c r="B133" s="4" t="s">
        <v>1648</v>
      </c>
      <c r="C133" s="4" t="s">
        <v>1652</v>
      </c>
      <c r="D133" s="4" t="s">
        <v>1653</v>
      </c>
      <c r="E133" s="4" t="s">
        <v>622</v>
      </c>
    </row>
    <row r="134" customFormat="false" ht="25.5" hidden="false" customHeight="true" outlineLevel="0" collapsed="false">
      <c r="A134" s="5" t="s">
        <v>368</v>
      </c>
      <c r="B134" s="5" t="s">
        <v>1648</v>
      </c>
      <c r="C134" s="5" t="s">
        <v>1654</v>
      </c>
      <c r="D134" s="5" t="s">
        <v>1655</v>
      </c>
      <c r="E134" s="5" t="s">
        <v>622</v>
      </c>
    </row>
    <row r="135" customFormat="false" ht="25.5" hidden="false" customHeight="true" outlineLevel="0" collapsed="false">
      <c r="A135" s="4" t="s">
        <v>368</v>
      </c>
      <c r="B135" s="4" t="s">
        <v>1648</v>
      </c>
      <c r="C135" s="4" t="s">
        <v>1656</v>
      </c>
      <c r="D135" s="4" t="s">
        <v>1657</v>
      </c>
      <c r="E135" s="4" t="s">
        <v>622</v>
      </c>
    </row>
    <row r="136" customFormat="false" ht="25.5" hidden="false" customHeight="true" outlineLevel="0" collapsed="false">
      <c r="A136" s="5" t="s">
        <v>368</v>
      </c>
      <c r="B136" s="5" t="s">
        <v>1648</v>
      </c>
      <c r="C136" s="5" t="s">
        <v>1658</v>
      </c>
      <c r="D136" s="5" t="s">
        <v>1659</v>
      </c>
      <c r="E136" s="5" t="s">
        <v>622</v>
      </c>
    </row>
    <row r="137" customFormat="false" ht="25.5" hidden="false" customHeight="true" outlineLevel="0" collapsed="false">
      <c r="A137" s="4" t="s">
        <v>368</v>
      </c>
      <c r="B137" s="4" t="s">
        <v>1648</v>
      </c>
      <c r="C137" s="4" t="s">
        <v>1660</v>
      </c>
      <c r="D137" s="4" t="s">
        <v>1534</v>
      </c>
      <c r="E137" s="4" t="s">
        <v>622</v>
      </c>
    </row>
    <row r="138" customFormat="false" ht="25.5" hidden="false" customHeight="true" outlineLevel="0" collapsed="false">
      <c r="A138" s="5" t="s">
        <v>368</v>
      </c>
      <c r="B138" s="5" t="s">
        <v>1648</v>
      </c>
      <c r="C138" s="5" t="s">
        <v>1661</v>
      </c>
      <c r="D138" s="5" t="s">
        <v>1662</v>
      </c>
      <c r="E138" s="5" t="s">
        <v>622</v>
      </c>
    </row>
    <row r="139" customFormat="false" ht="25.5" hidden="false" customHeight="true" outlineLevel="0" collapsed="false">
      <c r="A139" s="4" t="s">
        <v>368</v>
      </c>
      <c r="B139" s="4" t="s">
        <v>1648</v>
      </c>
      <c r="C139" s="4" t="s">
        <v>1663</v>
      </c>
      <c r="D139" s="4" t="s">
        <v>1664</v>
      </c>
      <c r="E139" s="4" t="s">
        <v>622</v>
      </c>
    </row>
    <row r="140" customFormat="false" ht="25.5" hidden="false" customHeight="true" outlineLevel="0" collapsed="false">
      <c r="A140" s="5" t="s">
        <v>368</v>
      </c>
      <c r="B140" s="5" t="s">
        <v>1648</v>
      </c>
      <c r="C140" s="5" t="s">
        <v>1665</v>
      </c>
      <c r="D140" s="5" t="s">
        <v>1666</v>
      </c>
      <c r="E140" s="5" t="s">
        <v>622</v>
      </c>
    </row>
    <row r="141" customFormat="false" ht="25.5" hidden="false" customHeight="true" outlineLevel="0" collapsed="false">
      <c r="A141" s="4" t="s">
        <v>368</v>
      </c>
      <c r="B141" s="4" t="s">
        <v>1648</v>
      </c>
      <c r="C141" s="4" t="s">
        <v>1667</v>
      </c>
      <c r="D141" s="4" t="s">
        <v>1668</v>
      </c>
      <c r="E141" s="4" t="s">
        <v>622</v>
      </c>
    </row>
    <row r="142" customFormat="false" ht="25.5" hidden="false" customHeight="true" outlineLevel="0" collapsed="false">
      <c r="A142" s="5" t="s">
        <v>368</v>
      </c>
      <c r="B142" s="5" t="s">
        <v>1648</v>
      </c>
      <c r="C142" s="5" t="s">
        <v>1669</v>
      </c>
      <c r="D142" s="5" t="s">
        <v>1670</v>
      </c>
      <c r="E142" s="5" t="s">
        <v>622</v>
      </c>
    </row>
    <row r="143" customFormat="false" ht="25.5" hidden="false" customHeight="true" outlineLevel="0" collapsed="false">
      <c r="A143" s="4" t="s">
        <v>368</v>
      </c>
      <c r="B143" s="4" t="s">
        <v>1671</v>
      </c>
      <c r="C143" s="4" t="s">
        <v>1672</v>
      </c>
      <c r="D143" s="4" t="s">
        <v>1673</v>
      </c>
      <c r="E143" s="4" t="s">
        <v>622</v>
      </c>
    </row>
    <row r="144" customFormat="false" ht="25.5" hidden="false" customHeight="true" outlineLevel="0" collapsed="false">
      <c r="A144" s="5" t="s">
        <v>368</v>
      </c>
      <c r="B144" s="5" t="s">
        <v>1671</v>
      </c>
      <c r="C144" s="5" t="s">
        <v>1674</v>
      </c>
      <c r="D144" s="5" t="s">
        <v>1675</v>
      </c>
      <c r="E144" s="5" t="s">
        <v>622</v>
      </c>
    </row>
    <row r="145" customFormat="false" ht="25.5" hidden="false" customHeight="true" outlineLevel="0" collapsed="false">
      <c r="A145" s="4" t="s">
        <v>368</v>
      </c>
      <c r="B145" s="4" t="s">
        <v>1671</v>
      </c>
      <c r="C145" s="4" t="s">
        <v>1676</v>
      </c>
      <c r="D145" s="4" t="s">
        <v>1677</v>
      </c>
      <c r="E145" s="4" t="s">
        <v>622</v>
      </c>
    </row>
    <row r="146" customFormat="false" ht="25.5" hidden="false" customHeight="true" outlineLevel="0" collapsed="false">
      <c r="A146" s="5" t="s">
        <v>368</v>
      </c>
      <c r="B146" s="5" t="s">
        <v>1671</v>
      </c>
      <c r="C146" s="5" t="s">
        <v>1678</v>
      </c>
      <c r="D146" s="5" t="s">
        <v>1679</v>
      </c>
      <c r="E146" s="5" t="s">
        <v>622</v>
      </c>
    </row>
    <row r="147" customFormat="false" ht="25.5" hidden="false" customHeight="true" outlineLevel="0" collapsed="false">
      <c r="A147" s="4" t="s">
        <v>368</v>
      </c>
      <c r="B147" s="4" t="s">
        <v>1671</v>
      </c>
      <c r="C147" s="4" t="s">
        <v>1680</v>
      </c>
      <c r="D147" s="4" t="s">
        <v>1681</v>
      </c>
      <c r="E147" s="4" t="s">
        <v>622</v>
      </c>
    </row>
    <row r="148" customFormat="false" ht="25.5" hidden="false" customHeight="true" outlineLevel="0" collapsed="false">
      <c r="A148" s="5" t="s">
        <v>770</v>
      </c>
      <c r="B148" s="5" t="s">
        <v>1682</v>
      </c>
      <c r="C148" s="5" t="s">
        <v>1683</v>
      </c>
      <c r="D148" s="5" t="s">
        <v>1684</v>
      </c>
      <c r="E148" s="5" t="s">
        <v>622</v>
      </c>
    </row>
    <row r="149" customFormat="false" ht="25.5" hidden="false" customHeight="true" outlineLevel="0" collapsed="false">
      <c r="A149" s="4" t="s">
        <v>770</v>
      </c>
      <c r="B149" s="4" t="s">
        <v>1682</v>
      </c>
      <c r="C149" s="4" t="s">
        <v>1685</v>
      </c>
      <c r="D149" s="4" t="s">
        <v>1686</v>
      </c>
      <c r="E149" s="4" t="s">
        <v>622</v>
      </c>
    </row>
    <row r="150" customFormat="false" ht="25.5" hidden="false" customHeight="true" outlineLevel="0" collapsed="false">
      <c r="A150" s="5" t="s">
        <v>770</v>
      </c>
      <c r="B150" s="5" t="s">
        <v>1682</v>
      </c>
      <c r="C150" s="5" t="s">
        <v>1687</v>
      </c>
      <c r="D150" s="5" t="s">
        <v>1473</v>
      </c>
      <c r="E150" s="5" t="s">
        <v>622</v>
      </c>
    </row>
    <row r="151" customFormat="false" ht="25.5" hidden="false" customHeight="true" outlineLevel="0" collapsed="false">
      <c r="A151" s="4" t="s">
        <v>770</v>
      </c>
      <c r="B151" s="4" t="s">
        <v>1682</v>
      </c>
      <c r="C151" s="4" t="s">
        <v>1688</v>
      </c>
      <c r="D151" s="4" t="s">
        <v>1689</v>
      </c>
      <c r="E151" s="4" t="s">
        <v>622</v>
      </c>
    </row>
    <row r="152" customFormat="false" ht="25.5" hidden="false" customHeight="true" outlineLevel="0" collapsed="false">
      <c r="A152" s="5" t="s">
        <v>770</v>
      </c>
      <c r="B152" s="5" t="s">
        <v>1682</v>
      </c>
      <c r="C152" s="5" t="s">
        <v>1690</v>
      </c>
      <c r="D152" s="5" t="s">
        <v>1691</v>
      </c>
      <c r="E152" s="5" t="s">
        <v>622</v>
      </c>
    </row>
    <row r="153" customFormat="false" ht="25.5" hidden="false" customHeight="true" outlineLevel="0" collapsed="false">
      <c r="A153" s="4" t="s">
        <v>770</v>
      </c>
      <c r="B153" s="4" t="s">
        <v>1682</v>
      </c>
      <c r="C153" s="4" t="s">
        <v>1692</v>
      </c>
      <c r="D153" s="4" t="s">
        <v>1693</v>
      </c>
      <c r="E153" s="4" t="s">
        <v>622</v>
      </c>
    </row>
    <row r="154" customFormat="false" ht="25.5" hidden="false" customHeight="true" outlineLevel="0" collapsed="false">
      <c r="A154" s="5" t="s">
        <v>770</v>
      </c>
      <c r="B154" s="5" t="s">
        <v>1682</v>
      </c>
      <c r="C154" s="5" t="s">
        <v>1694</v>
      </c>
      <c r="D154" s="5" t="s">
        <v>1559</v>
      </c>
      <c r="E154" s="5" t="s">
        <v>622</v>
      </c>
    </row>
    <row r="155" customFormat="false" ht="25.5" hidden="false" customHeight="true" outlineLevel="0" collapsed="false">
      <c r="A155" s="4" t="s">
        <v>770</v>
      </c>
      <c r="B155" s="4" t="s">
        <v>1682</v>
      </c>
      <c r="C155" s="4" t="s">
        <v>1695</v>
      </c>
      <c r="D155" s="4" t="s">
        <v>1696</v>
      </c>
      <c r="E155" s="4" t="s">
        <v>622</v>
      </c>
    </row>
    <row r="156" customFormat="false" ht="25.5" hidden="false" customHeight="true" outlineLevel="0" collapsed="false">
      <c r="A156" s="5" t="s">
        <v>770</v>
      </c>
      <c r="B156" s="5" t="s">
        <v>1682</v>
      </c>
      <c r="C156" s="5" t="s">
        <v>1697</v>
      </c>
      <c r="D156" s="5" t="s">
        <v>1698</v>
      </c>
      <c r="E156" s="5" t="s">
        <v>622</v>
      </c>
    </row>
    <row r="157" customFormat="false" ht="25.5" hidden="false" customHeight="true" outlineLevel="0" collapsed="false">
      <c r="A157" s="4" t="s">
        <v>770</v>
      </c>
      <c r="B157" s="4" t="s">
        <v>1682</v>
      </c>
      <c r="C157" s="4" t="s">
        <v>1699</v>
      </c>
      <c r="D157" s="4" t="s">
        <v>1700</v>
      </c>
      <c r="E157" s="4" t="s">
        <v>622</v>
      </c>
    </row>
    <row r="158" customFormat="false" ht="25.5" hidden="false" customHeight="true" outlineLevel="0" collapsed="false">
      <c r="A158" s="5" t="s">
        <v>770</v>
      </c>
      <c r="B158" s="5" t="s">
        <v>1682</v>
      </c>
      <c r="C158" s="5" t="s">
        <v>1701</v>
      </c>
      <c r="D158" s="5" t="s">
        <v>1702</v>
      </c>
      <c r="E158" s="5" t="s">
        <v>622</v>
      </c>
    </row>
    <row r="159" customFormat="false" ht="25.5" hidden="false" customHeight="true" outlineLevel="0" collapsed="false">
      <c r="A159" s="4" t="s">
        <v>770</v>
      </c>
      <c r="B159" s="4" t="s">
        <v>1682</v>
      </c>
      <c r="C159" s="4" t="s">
        <v>1703</v>
      </c>
      <c r="D159" s="4" t="s">
        <v>1684</v>
      </c>
      <c r="E159" s="4" t="s">
        <v>622</v>
      </c>
    </row>
    <row r="160" customFormat="false" ht="25.5" hidden="false" customHeight="true" outlineLevel="0" collapsed="false">
      <c r="A160" s="5" t="s">
        <v>770</v>
      </c>
      <c r="B160" s="5" t="s">
        <v>1682</v>
      </c>
      <c r="C160" s="5" t="s">
        <v>1704</v>
      </c>
      <c r="D160" s="5" t="s">
        <v>1705</v>
      </c>
      <c r="E160" s="5" t="s">
        <v>622</v>
      </c>
    </row>
    <row r="161" customFormat="false" ht="25.5" hidden="false" customHeight="true" outlineLevel="0" collapsed="false">
      <c r="A161" s="4" t="s">
        <v>770</v>
      </c>
      <c r="B161" s="4" t="s">
        <v>1682</v>
      </c>
      <c r="C161" s="4" t="s">
        <v>1706</v>
      </c>
      <c r="D161" s="4" t="s">
        <v>1707</v>
      </c>
      <c r="E161" s="4" t="s">
        <v>622</v>
      </c>
    </row>
    <row r="162" customFormat="false" ht="25.5" hidden="false" customHeight="true" outlineLevel="0" collapsed="false">
      <c r="A162" s="5" t="s">
        <v>770</v>
      </c>
      <c r="B162" s="5" t="s">
        <v>1682</v>
      </c>
      <c r="C162" s="5" t="s">
        <v>1708</v>
      </c>
      <c r="D162" s="5" t="s">
        <v>1709</v>
      </c>
      <c r="E162" s="5" t="s">
        <v>622</v>
      </c>
    </row>
    <row r="163" customFormat="false" ht="25.5" hidden="false" customHeight="true" outlineLevel="0" collapsed="false">
      <c r="A163" s="4" t="s">
        <v>770</v>
      </c>
      <c r="B163" s="4" t="s">
        <v>1682</v>
      </c>
      <c r="C163" s="4" t="s">
        <v>1710</v>
      </c>
      <c r="D163" s="4" t="s">
        <v>1711</v>
      </c>
      <c r="E163" s="4" t="s">
        <v>622</v>
      </c>
    </row>
    <row r="164" customFormat="false" ht="25.5" hidden="false" customHeight="true" outlineLevel="0" collapsed="false">
      <c r="A164" s="5" t="s">
        <v>770</v>
      </c>
      <c r="B164" s="5" t="s">
        <v>1682</v>
      </c>
      <c r="C164" s="5" t="s">
        <v>1712</v>
      </c>
      <c r="D164" s="5" t="s">
        <v>1713</v>
      </c>
      <c r="E164" s="5" t="s">
        <v>622</v>
      </c>
    </row>
    <row r="165" customFormat="false" ht="25.5" hidden="false" customHeight="true" outlineLevel="0" collapsed="false">
      <c r="A165" s="4" t="s">
        <v>770</v>
      </c>
      <c r="B165" s="4" t="s">
        <v>1682</v>
      </c>
      <c r="C165" s="4" t="s">
        <v>1714</v>
      </c>
      <c r="D165" s="4" t="s">
        <v>1715</v>
      </c>
      <c r="E165" s="4" t="s">
        <v>622</v>
      </c>
    </row>
    <row r="166" customFormat="false" ht="25.5" hidden="false" customHeight="true" outlineLevel="0" collapsed="false">
      <c r="A166" s="5" t="s">
        <v>770</v>
      </c>
      <c r="B166" s="5" t="s">
        <v>1682</v>
      </c>
      <c r="C166" s="5" t="s">
        <v>1716</v>
      </c>
      <c r="D166" s="5" t="s">
        <v>1717</v>
      </c>
      <c r="E166" s="5" t="s">
        <v>622</v>
      </c>
    </row>
    <row r="167" customFormat="false" ht="25.5" hidden="false" customHeight="true" outlineLevel="0" collapsed="false">
      <c r="A167" s="4" t="s">
        <v>770</v>
      </c>
      <c r="B167" s="4" t="s">
        <v>1682</v>
      </c>
      <c r="C167" s="4" t="s">
        <v>1718</v>
      </c>
      <c r="D167" s="4" t="s">
        <v>1719</v>
      </c>
      <c r="E167" s="4" t="s">
        <v>622</v>
      </c>
    </row>
    <row r="168" customFormat="false" ht="25.5" hidden="false" customHeight="true" outlineLevel="0" collapsed="false">
      <c r="A168" s="5" t="s">
        <v>770</v>
      </c>
      <c r="B168" s="5" t="s">
        <v>1682</v>
      </c>
      <c r="C168" s="5" t="s">
        <v>1720</v>
      </c>
      <c r="D168" s="5" t="s">
        <v>1721</v>
      </c>
      <c r="E168" s="5" t="s">
        <v>622</v>
      </c>
    </row>
    <row r="169" customFormat="false" ht="25.5" hidden="false" customHeight="true" outlineLevel="0" collapsed="false">
      <c r="A169" s="4" t="s">
        <v>770</v>
      </c>
      <c r="B169" s="4" t="s">
        <v>1682</v>
      </c>
      <c r="C169" s="4" t="s">
        <v>1722</v>
      </c>
      <c r="D169" s="4" t="s">
        <v>1723</v>
      </c>
      <c r="E169" s="4" t="s">
        <v>622</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1724</v>
      </c>
    </row>
    <row r="2" customFormat="false" ht="15" hidden="false" customHeight="false" outlineLevel="0" collapsed="false">
      <c r="A2" s="2" t="s">
        <v>1725</v>
      </c>
    </row>
    <row r="4" customFormat="false" ht="30" hidden="false" customHeight="true" outlineLevel="0" collapsed="false">
      <c r="A4" s="3" t="s">
        <v>1726</v>
      </c>
      <c r="B4" s="3" t="s">
        <v>1727</v>
      </c>
      <c r="C4" s="3" t="s">
        <v>1728</v>
      </c>
      <c r="D4" s="3" t="s">
        <v>1729</v>
      </c>
      <c r="E4" s="3" t="s">
        <v>846</v>
      </c>
      <c r="F4" s="3" t="s">
        <v>1730</v>
      </c>
      <c r="G4" s="3" t="s">
        <v>1731</v>
      </c>
      <c r="H4" s="3" t="s">
        <v>1732</v>
      </c>
    </row>
    <row r="5" customFormat="false" ht="54" hidden="false" customHeight="true" outlineLevel="0" collapsed="false">
      <c r="A5" s="4" t="s">
        <v>1733</v>
      </c>
      <c r="B5" s="4" t="s">
        <v>1734</v>
      </c>
      <c r="C5" s="4" t="s">
        <v>1735</v>
      </c>
      <c r="D5" s="4" t="s">
        <v>1736</v>
      </c>
      <c r="E5" s="4" t="s">
        <v>857</v>
      </c>
      <c r="F5" s="4" t="s">
        <v>622</v>
      </c>
      <c r="G5" s="4" t="s">
        <v>1737</v>
      </c>
      <c r="H5" s="4" t="s">
        <v>1738</v>
      </c>
    </row>
    <row r="6" customFormat="false" ht="54" hidden="false" customHeight="true" outlineLevel="0" collapsed="false">
      <c r="A6" s="5" t="s">
        <v>1739</v>
      </c>
      <c r="B6" s="5" t="s">
        <v>1740</v>
      </c>
      <c r="C6" s="5" t="s">
        <v>1741</v>
      </c>
      <c r="D6" s="5" t="s">
        <v>1742</v>
      </c>
      <c r="E6" s="5" t="s">
        <v>857</v>
      </c>
      <c r="F6" s="5" t="s">
        <v>622</v>
      </c>
      <c r="G6" s="5" t="s">
        <v>1743</v>
      </c>
      <c r="H6" s="5" t="s">
        <v>1744</v>
      </c>
    </row>
    <row r="7" customFormat="false" ht="54" hidden="false" customHeight="true" outlineLevel="0" collapsed="false">
      <c r="A7" s="4" t="s">
        <v>1745</v>
      </c>
      <c r="B7" s="4" t="s">
        <v>1746</v>
      </c>
      <c r="C7" s="4" t="s">
        <v>1747</v>
      </c>
      <c r="D7" s="4" t="s">
        <v>1748</v>
      </c>
      <c r="E7" s="4" t="s">
        <v>857</v>
      </c>
      <c r="F7" s="4" t="s">
        <v>622</v>
      </c>
      <c r="G7" s="4" t="s">
        <v>1749</v>
      </c>
      <c r="H7" s="4" t="s">
        <v>1750</v>
      </c>
    </row>
    <row r="8" customFormat="false" ht="54" hidden="false" customHeight="true" outlineLevel="0" collapsed="false">
      <c r="A8" s="5" t="s">
        <v>1751</v>
      </c>
      <c r="B8" s="5" t="s">
        <v>1752</v>
      </c>
      <c r="C8" s="5" t="s">
        <v>150</v>
      </c>
      <c r="D8" s="5" t="s">
        <v>1753</v>
      </c>
      <c r="E8" s="5" t="s">
        <v>857</v>
      </c>
      <c r="F8" s="5" t="s">
        <v>622</v>
      </c>
      <c r="G8" s="5" t="s">
        <v>1754</v>
      </c>
      <c r="H8" s="5" t="s">
        <v>1755</v>
      </c>
    </row>
    <row r="9" customFormat="false" ht="54" hidden="false" customHeight="true" outlineLevel="0" collapsed="false">
      <c r="A9" s="4" t="s">
        <v>1756</v>
      </c>
      <c r="B9" s="4" t="s">
        <v>1757</v>
      </c>
      <c r="C9" s="4" t="s">
        <v>496</v>
      </c>
      <c r="D9" s="4" t="s">
        <v>1758</v>
      </c>
      <c r="E9" s="4" t="s">
        <v>857</v>
      </c>
      <c r="F9" s="4" t="s">
        <v>622</v>
      </c>
      <c r="G9" s="4" t="s">
        <v>1759</v>
      </c>
      <c r="H9" s="4" t="s">
        <v>1760</v>
      </c>
    </row>
    <row r="10" customFormat="false" ht="54" hidden="false" customHeight="true" outlineLevel="0" collapsed="false">
      <c r="A10" s="5" t="s">
        <v>1761</v>
      </c>
      <c r="B10" s="5" t="s">
        <v>1740</v>
      </c>
      <c r="C10" s="5" t="s">
        <v>1762</v>
      </c>
      <c r="D10" s="5" t="s">
        <v>1763</v>
      </c>
      <c r="E10" s="5" t="s">
        <v>857</v>
      </c>
      <c r="F10" s="5" t="s">
        <v>622</v>
      </c>
      <c r="G10" s="5" t="s">
        <v>1764</v>
      </c>
      <c r="H10" s="5" t="s">
        <v>1765</v>
      </c>
    </row>
    <row r="11" customFormat="false" ht="54" hidden="false" customHeight="true" outlineLevel="0" collapsed="false">
      <c r="A11" s="4" t="s">
        <v>1766</v>
      </c>
      <c r="B11" s="4" t="s">
        <v>1740</v>
      </c>
      <c r="C11" s="4" t="s">
        <v>1767</v>
      </c>
      <c r="D11" s="4" t="s">
        <v>1768</v>
      </c>
      <c r="E11" s="4" t="s">
        <v>857</v>
      </c>
      <c r="F11" s="4" t="s">
        <v>622</v>
      </c>
      <c r="G11" s="4" t="s">
        <v>1769</v>
      </c>
      <c r="H11" s="4" t="s">
        <v>1770</v>
      </c>
    </row>
    <row r="12" customFormat="false" ht="54" hidden="false" customHeight="true" outlineLevel="0" collapsed="false">
      <c r="A12" s="5" t="s">
        <v>1771</v>
      </c>
      <c r="B12" s="5" t="s">
        <v>1740</v>
      </c>
      <c r="C12" s="5" t="s">
        <v>1772</v>
      </c>
      <c r="D12" s="5" t="s">
        <v>1773</v>
      </c>
      <c r="E12" s="5" t="s">
        <v>857</v>
      </c>
      <c r="F12" s="5" t="s">
        <v>622</v>
      </c>
      <c r="G12" s="5" t="s">
        <v>1774</v>
      </c>
      <c r="H12" s="5" t="s">
        <v>1738</v>
      </c>
    </row>
    <row r="13" customFormat="false" ht="54" hidden="false" customHeight="true" outlineLevel="0" collapsed="false">
      <c r="A13" s="4" t="s">
        <v>1775</v>
      </c>
      <c r="B13" s="4" t="s">
        <v>1740</v>
      </c>
      <c r="C13" s="4" t="s">
        <v>1776</v>
      </c>
      <c r="D13" s="4" t="s">
        <v>1777</v>
      </c>
      <c r="E13" s="4" t="s">
        <v>857</v>
      </c>
      <c r="F13" s="4" t="s">
        <v>622</v>
      </c>
      <c r="G13" s="4" t="s">
        <v>1778</v>
      </c>
      <c r="H13" s="4" t="s">
        <v>1779</v>
      </c>
    </row>
    <row r="14" customFormat="false" ht="54" hidden="false" customHeight="true" outlineLevel="0" collapsed="false">
      <c r="A14" s="5" t="s">
        <v>1780</v>
      </c>
      <c r="B14" s="5" t="s">
        <v>1781</v>
      </c>
      <c r="C14" s="5" t="s">
        <v>1782</v>
      </c>
      <c r="D14" s="5" t="s">
        <v>1783</v>
      </c>
      <c r="E14" s="5" t="s">
        <v>857</v>
      </c>
      <c r="F14" s="5" t="s">
        <v>622</v>
      </c>
      <c r="G14" s="5" t="s">
        <v>1784</v>
      </c>
      <c r="H14" s="5" t="s">
        <v>1738</v>
      </c>
    </row>
    <row r="15" customFormat="false" ht="54" hidden="false" customHeight="true" outlineLevel="0" collapsed="false">
      <c r="A15" s="4" t="s">
        <v>1785</v>
      </c>
      <c r="B15" s="4" t="s">
        <v>1740</v>
      </c>
      <c r="C15" s="4" t="s">
        <v>1786</v>
      </c>
      <c r="D15" s="4" t="s">
        <v>1787</v>
      </c>
      <c r="E15" s="4" t="s">
        <v>857</v>
      </c>
      <c r="F15" s="4" t="s">
        <v>622</v>
      </c>
      <c r="G15" s="4" t="s">
        <v>1788</v>
      </c>
      <c r="H15" s="4" t="s">
        <v>1738</v>
      </c>
    </row>
    <row r="16" customFormat="false" ht="54" hidden="false" customHeight="true" outlineLevel="0" collapsed="false">
      <c r="A16" s="5" t="s">
        <v>1789</v>
      </c>
      <c r="B16" s="5" t="s">
        <v>1740</v>
      </c>
      <c r="C16" s="5" t="s">
        <v>1790</v>
      </c>
      <c r="D16" s="5" t="s">
        <v>1791</v>
      </c>
      <c r="E16" s="5" t="s">
        <v>857</v>
      </c>
      <c r="F16" s="5" t="s">
        <v>622</v>
      </c>
      <c r="G16" s="5" t="s">
        <v>1792</v>
      </c>
      <c r="H16" s="5" t="s">
        <v>1793</v>
      </c>
    </row>
    <row r="17" customFormat="false" ht="54" hidden="false" customHeight="true" outlineLevel="0" collapsed="false">
      <c r="A17" s="4" t="s">
        <v>1794</v>
      </c>
      <c r="B17" s="4" t="s">
        <v>1795</v>
      </c>
      <c r="C17" s="4" t="s">
        <v>1796</v>
      </c>
      <c r="D17" s="4" t="s">
        <v>1797</v>
      </c>
      <c r="E17" s="4" t="s">
        <v>1122</v>
      </c>
      <c r="F17" s="4" t="s">
        <v>622</v>
      </c>
      <c r="G17" s="4" t="s">
        <v>1798</v>
      </c>
      <c r="H17" s="4" t="s">
        <v>1799</v>
      </c>
    </row>
    <row r="18" customFormat="false" ht="54" hidden="false" customHeight="true" outlineLevel="0" collapsed="false">
      <c r="A18" s="5" t="s">
        <v>1800</v>
      </c>
      <c r="B18" s="5" t="s">
        <v>1801</v>
      </c>
      <c r="C18" s="5" t="s">
        <v>1802</v>
      </c>
      <c r="D18" s="5" t="s">
        <v>1803</v>
      </c>
      <c r="E18" s="5" t="s">
        <v>1122</v>
      </c>
      <c r="F18" s="5" t="s">
        <v>622</v>
      </c>
      <c r="G18" s="5" t="s">
        <v>1804</v>
      </c>
      <c r="H18" s="5" t="s">
        <v>1805</v>
      </c>
    </row>
    <row r="19" customFormat="false" ht="54" hidden="false" customHeight="true" outlineLevel="0" collapsed="false">
      <c r="A19" s="4" t="s">
        <v>1806</v>
      </c>
      <c r="B19" s="4" t="s">
        <v>1807</v>
      </c>
      <c r="C19" s="4" t="s">
        <v>1808</v>
      </c>
      <c r="D19" s="4" t="s">
        <v>1809</v>
      </c>
      <c r="E19" s="4" t="s">
        <v>857</v>
      </c>
      <c r="F19" s="4" t="s">
        <v>622</v>
      </c>
      <c r="G19" s="4" t="s">
        <v>1810</v>
      </c>
      <c r="H19" s="4" t="s">
        <v>1811</v>
      </c>
    </row>
    <row r="20" customFormat="false" ht="54" hidden="false" customHeight="true" outlineLevel="0" collapsed="false">
      <c r="A20" s="5" t="s">
        <v>1812</v>
      </c>
      <c r="B20" s="5" t="s">
        <v>1813</v>
      </c>
      <c r="C20" s="5" t="s">
        <v>1814</v>
      </c>
      <c r="D20" s="5" t="s">
        <v>1815</v>
      </c>
      <c r="E20" s="5" t="s">
        <v>864</v>
      </c>
      <c r="F20" s="5" t="s">
        <v>622</v>
      </c>
      <c r="G20" s="5" t="s">
        <v>1816</v>
      </c>
      <c r="H20" s="5" t="s">
        <v>1817</v>
      </c>
    </row>
    <row r="21" customFormat="false" ht="54" hidden="false" customHeight="true" outlineLevel="0" collapsed="false">
      <c r="A21" s="4" t="s">
        <v>1818</v>
      </c>
      <c r="B21" s="4" t="s">
        <v>1819</v>
      </c>
      <c r="C21" s="4" t="s">
        <v>1820</v>
      </c>
      <c r="D21" s="4" t="s">
        <v>1821</v>
      </c>
      <c r="E21" s="4" t="s">
        <v>1822</v>
      </c>
      <c r="F21" s="4" t="s">
        <v>1823</v>
      </c>
      <c r="G21" s="4" t="s">
        <v>1824</v>
      </c>
      <c r="H21" s="4" t="s">
        <v>1825</v>
      </c>
    </row>
    <row r="22" customFormat="false" ht="54" hidden="false" customHeight="true" outlineLevel="0" collapsed="false">
      <c r="A22" s="5" t="s">
        <v>1826</v>
      </c>
      <c r="B22" s="5" t="s">
        <v>1827</v>
      </c>
      <c r="C22" s="5" t="s">
        <v>1828</v>
      </c>
      <c r="D22" s="5" t="s">
        <v>1829</v>
      </c>
      <c r="E22" s="5" t="s">
        <v>1089</v>
      </c>
      <c r="F22" s="5" t="s">
        <v>622</v>
      </c>
      <c r="G22" s="5" t="s">
        <v>1830</v>
      </c>
      <c r="H22" s="5" t="s">
        <v>1831</v>
      </c>
    </row>
  </sheetData>
  <autoFilter ref="A4:H4"/>
  <conditionalFormatting sqref="F5:F22">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1832</v>
      </c>
    </row>
    <row r="2" customFormat="false" ht="15" hidden="false" customHeight="false" outlineLevel="0" collapsed="false">
      <c r="A2" s="2" t="s">
        <v>1833</v>
      </c>
    </row>
    <row r="4" customFormat="false" ht="30" hidden="false" customHeight="true" outlineLevel="0" collapsed="false">
      <c r="A4" s="3" t="s">
        <v>841</v>
      </c>
      <c r="B4" s="3" t="s">
        <v>1834</v>
      </c>
      <c r="C4" s="3" t="s">
        <v>1835</v>
      </c>
      <c r="D4" s="3" t="s">
        <v>1836</v>
      </c>
      <c r="E4" s="3" t="s">
        <v>1837</v>
      </c>
      <c r="F4" s="3" t="s">
        <v>1838</v>
      </c>
      <c r="G4" s="3" t="s">
        <v>1839</v>
      </c>
      <c r="H4" s="3" t="s">
        <v>277</v>
      </c>
    </row>
    <row r="5" customFormat="false" ht="57.75" hidden="false" customHeight="true" outlineLevel="0" collapsed="false">
      <c r="A5" s="4" t="s">
        <v>1840</v>
      </c>
      <c r="B5" s="4" t="s">
        <v>1841</v>
      </c>
      <c r="C5" s="4" t="s">
        <v>1842</v>
      </c>
      <c r="D5" s="4" t="s">
        <v>1843</v>
      </c>
      <c r="E5" s="4" t="s">
        <v>1844</v>
      </c>
      <c r="F5" s="4" t="s">
        <v>1845</v>
      </c>
      <c r="G5" s="4" t="s">
        <v>124</v>
      </c>
      <c r="H5" s="4" t="s">
        <v>1846</v>
      </c>
    </row>
    <row r="6" customFormat="false" ht="57.75" hidden="false" customHeight="true" outlineLevel="0" collapsed="false">
      <c r="A6" s="5" t="s">
        <v>1847</v>
      </c>
      <c r="B6" s="5" t="s">
        <v>1848</v>
      </c>
      <c r="C6" s="5" t="s">
        <v>1849</v>
      </c>
      <c r="D6" s="5" t="s">
        <v>1850</v>
      </c>
      <c r="E6" s="5" t="s">
        <v>1851</v>
      </c>
      <c r="F6" s="5" t="s">
        <v>1749</v>
      </c>
      <c r="G6" s="5" t="s">
        <v>124</v>
      </c>
      <c r="H6" s="5" t="s">
        <v>1846</v>
      </c>
    </row>
    <row r="7" customFormat="false" ht="57.75" hidden="false" customHeight="true" outlineLevel="0" collapsed="false">
      <c r="A7" s="4" t="s">
        <v>1852</v>
      </c>
      <c r="B7" s="4" t="s">
        <v>1853</v>
      </c>
      <c r="C7" s="4" t="s">
        <v>1854</v>
      </c>
      <c r="D7" s="4" t="s">
        <v>1855</v>
      </c>
      <c r="E7" s="4" t="s">
        <v>1856</v>
      </c>
      <c r="F7" s="4" t="s">
        <v>1857</v>
      </c>
      <c r="G7" s="4" t="s">
        <v>126</v>
      </c>
      <c r="H7" s="4" t="s">
        <v>1846</v>
      </c>
    </row>
    <row r="8" customFormat="false" ht="57.75" hidden="false" customHeight="true" outlineLevel="0" collapsed="false">
      <c r="A8" s="5" t="s">
        <v>1858</v>
      </c>
      <c r="B8" s="5" t="s">
        <v>1859</v>
      </c>
      <c r="C8" s="5" t="s">
        <v>1860</v>
      </c>
      <c r="D8" s="5" t="s">
        <v>1861</v>
      </c>
      <c r="E8" s="5" t="s">
        <v>1862</v>
      </c>
      <c r="F8" s="5" t="s">
        <v>1863</v>
      </c>
      <c r="G8" s="5" t="s">
        <v>126</v>
      </c>
      <c r="H8" s="5" t="s">
        <v>1846</v>
      </c>
    </row>
    <row r="9" customFormat="false" ht="57.75" hidden="false" customHeight="true" outlineLevel="0" collapsed="false">
      <c r="A9" s="4" t="s">
        <v>1864</v>
      </c>
      <c r="B9" s="4" t="s">
        <v>1865</v>
      </c>
      <c r="C9" s="4" t="s">
        <v>1866</v>
      </c>
      <c r="D9" s="4" t="s">
        <v>1867</v>
      </c>
      <c r="E9" s="4" t="s">
        <v>1868</v>
      </c>
      <c r="F9" s="4" t="s">
        <v>1869</v>
      </c>
      <c r="G9" s="4" t="s">
        <v>124</v>
      </c>
      <c r="H9" s="4" t="s">
        <v>1846</v>
      </c>
    </row>
    <row r="10" customFormat="false" ht="57.75" hidden="false" customHeight="true" outlineLevel="0" collapsed="false">
      <c r="A10" s="5" t="s">
        <v>1870</v>
      </c>
      <c r="B10" s="5" t="s">
        <v>1871</v>
      </c>
      <c r="C10" s="5" t="s">
        <v>1872</v>
      </c>
      <c r="D10" s="5" t="s">
        <v>1873</v>
      </c>
      <c r="E10" s="5" t="s">
        <v>1874</v>
      </c>
      <c r="F10" s="5" t="s">
        <v>1875</v>
      </c>
      <c r="G10" s="5" t="s">
        <v>124</v>
      </c>
      <c r="H10" s="5" t="s">
        <v>1846</v>
      </c>
    </row>
    <row r="11" customFormat="false" ht="57.75" hidden="false" customHeight="true" outlineLevel="0" collapsed="false">
      <c r="A11" s="4" t="s">
        <v>1876</v>
      </c>
      <c r="B11" s="4" t="s">
        <v>1877</v>
      </c>
      <c r="C11" s="4" t="s">
        <v>1878</v>
      </c>
      <c r="D11" s="4" t="s">
        <v>1879</v>
      </c>
      <c r="E11" s="4" t="s">
        <v>1880</v>
      </c>
      <c r="F11" s="4" t="s">
        <v>1778</v>
      </c>
      <c r="G11" s="4" t="s">
        <v>126</v>
      </c>
      <c r="H11" s="4" t="s">
        <v>1846</v>
      </c>
    </row>
    <row r="12" customFormat="false" ht="57.75" hidden="false" customHeight="true" outlineLevel="0" collapsed="false">
      <c r="A12" s="5" t="s">
        <v>1881</v>
      </c>
      <c r="B12" s="5" t="s">
        <v>1882</v>
      </c>
      <c r="C12" s="5" t="s">
        <v>1883</v>
      </c>
      <c r="D12" s="5" t="s">
        <v>1884</v>
      </c>
      <c r="E12" s="5" t="s">
        <v>1885</v>
      </c>
      <c r="F12" s="5" t="s">
        <v>1886</v>
      </c>
      <c r="G12" s="5" t="s">
        <v>126</v>
      </c>
      <c r="H12" s="5" t="s">
        <v>1846</v>
      </c>
    </row>
    <row r="13" customFormat="false" ht="57.75" hidden="false" customHeight="true" outlineLevel="0" collapsed="false">
      <c r="A13" s="4" t="s">
        <v>1887</v>
      </c>
      <c r="B13" s="4" t="s">
        <v>1888</v>
      </c>
      <c r="C13" s="4" t="s">
        <v>1889</v>
      </c>
      <c r="D13" s="4" t="s">
        <v>1890</v>
      </c>
      <c r="E13" s="4" t="s">
        <v>1891</v>
      </c>
      <c r="F13" s="4" t="s">
        <v>1892</v>
      </c>
      <c r="G13" s="4" t="s">
        <v>124</v>
      </c>
      <c r="H13" s="4" t="s">
        <v>1846</v>
      </c>
    </row>
    <row r="14" customFormat="false" ht="57.75" hidden="false" customHeight="true" outlineLevel="0" collapsed="false">
      <c r="A14" s="5" t="s">
        <v>1893</v>
      </c>
      <c r="B14" s="5" t="s">
        <v>1894</v>
      </c>
      <c r="C14" s="5" t="s">
        <v>1895</v>
      </c>
      <c r="D14" s="5" t="s">
        <v>1896</v>
      </c>
      <c r="E14" s="5" t="s">
        <v>1897</v>
      </c>
      <c r="F14" s="5" t="s">
        <v>1898</v>
      </c>
      <c r="G14" s="5" t="s">
        <v>126</v>
      </c>
      <c r="H14" s="5" t="s">
        <v>1846</v>
      </c>
    </row>
    <row r="15" customFormat="false" ht="57.75" hidden="false" customHeight="true" outlineLevel="0" collapsed="false">
      <c r="A15" s="4" t="s">
        <v>1899</v>
      </c>
      <c r="B15" s="4" t="s">
        <v>1900</v>
      </c>
      <c r="C15" s="4" t="s">
        <v>1901</v>
      </c>
      <c r="D15" s="4" t="s">
        <v>1902</v>
      </c>
      <c r="E15" s="4" t="s">
        <v>1903</v>
      </c>
      <c r="F15" s="4" t="s">
        <v>1904</v>
      </c>
      <c r="G15" s="4" t="s">
        <v>126</v>
      </c>
      <c r="H15" s="4" t="s">
        <v>1846</v>
      </c>
    </row>
    <row r="16" customFormat="false" ht="57.75" hidden="false" customHeight="true" outlineLevel="0" collapsed="false">
      <c r="A16" s="5" t="s">
        <v>1905</v>
      </c>
      <c r="B16" s="5" t="s">
        <v>1906</v>
      </c>
      <c r="C16" s="5" t="s">
        <v>1907</v>
      </c>
      <c r="D16" s="5" t="s">
        <v>1908</v>
      </c>
      <c r="E16" s="5" t="s">
        <v>1909</v>
      </c>
      <c r="F16" s="5" t="s">
        <v>1910</v>
      </c>
      <c r="G16" s="5" t="s">
        <v>126</v>
      </c>
      <c r="H16" s="5" t="s">
        <v>1846</v>
      </c>
    </row>
    <row r="17" customFormat="false" ht="57.75" hidden="false" customHeight="true" outlineLevel="0" collapsed="false">
      <c r="A17" s="4" t="s">
        <v>1911</v>
      </c>
      <c r="B17" s="4" t="s">
        <v>1912</v>
      </c>
      <c r="C17" s="4" t="s">
        <v>1913</v>
      </c>
      <c r="D17" s="4" t="s">
        <v>1914</v>
      </c>
      <c r="E17" s="4" t="s">
        <v>1915</v>
      </c>
      <c r="F17" s="4" t="s">
        <v>1916</v>
      </c>
      <c r="G17" s="4" t="s">
        <v>124</v>
      </c>
      <c r="H17" s="4" t="s">
        <v>1846</v>
      </c>
    </row>
    <row r="18" customFormat="false" ht="57.75" hidden="false" customHeight="true" outlineLevel="0" collapsed="false">
      <c r="A18" s="5" t="s">
        <v>1917</v>
      </c>
      <c r="B18" s="5" t="s">
        <v>1918</v>
      </c>
      <c r="C18" s="5" t="s">
        <v>1919</v>
      </c>
      <c r="D18" s="5" t="s">
        <v>1920</v>
      </c>
      <c r="E18" s="5" t="s">
        <v>1921</v>
      </c>
      <c r="F18" s="5" t="s">
        <v>1922</v>
      </c>
      <c r="G18" s="5" t="s">
        <v>124</v>
      </c>
      <c r="H18" s="5" t="s">
        <v>1846</v>
      </c>
    </row>
    <row r="19" customFormat="false" ht="57.75" hidden="false" customHeight="true" outlineLevel="0" collapsed="false">
      <c r="A19" s="4" t="s">
        <v>1923</v>
      </c>
      <c r="B19" s="4" t="s">
        <v>1924</v>
      </c>
      <c r="C19" s="4" t="s">
        <v>1925</v>
      </c>
      <c r="D19" s="4" t="s">
        <v>1926</v>
      </c>
      <c r="E19" s="4" t="s">
        <v>1927</v>
      </c>
      <c r="F19" s="4" t="s">
        <v>1928</v>
      </c>
      <c r="G19" s="4" t="s">
        <v>124</v>
      </c>
      <c r="H19" s="4" t="s">
        <v>1929</v>
      </c>
    </row>
    <row r="20" customFormat="false" ht="57.75" hidden="false" customHeight="true" outlineLevel="0" collapsed="false">
      <c r="A20" s="5" t="s">
        <v>1930</v>
      </c>
      <c r="B20" s="5" t="s">
        <v>1931</v>
      </c>
      <c r="C20" s="5" t="s">
        <v>1932</v>
      </c>
      <c r="D20" s="5" t="s">
        <v>1933</v>
      </c>
      <c r="E20" s="5" t="s">
        <v>1934</v>
      </c>
      <c r="F20" s="5" t="s">
        <v>1935</v>
      </c>
      <c r="G20" s="5" t="s">
        <v>124</v>
      </c>
      <c r="H20" s="5" t="s">
        <v>1936</v>
      </c>
    </row>
    <row r="21" customFormat="false" ht="57.75" hidden="false" customHeight="true" outlineLevel="0" collapsed="false">
      <c r="A21" s="4" t="s">
        <v>1937</v>
      </c>
      <c r="B21" s="4" t="s">
        <v>1938</v>
      </c>
      <c r="C21" s="4" t="s">
        <v>1939</v>
      </c>
      <c r="D21" s="4" t="s">
        <v>1940</v>
      </c>
      <c r="E21" s="4" t="s">
        <v>1941</v>
      </c>
      <c r="F21" s="4" t="s">
        <v>1942</v>
      </c>
      <c r="G21" s="4" t="s">
        <v>126</v>
      </c>
      <c r="H21" s="4" t="s">
        <v>1943</v>
      </c>
    </row>
    <row r="22" customFormat="false" ht="57.75" hidden="false" customHeight="true" outlineLevel="0" collapsed="false">
      <c r="A22" s="5" t="s">
        <v>1944</v>
      </c>
      <c r="B22" s="5" t="s">
        <v>1945</v>
      </c>
      <c r="C22" s="5" t="s">
        <v>1946</v>
      </c>
      <c r="D22" s="5" t="s">
        <v>1947</v>
      </c>
      <c r="E22" s="5" t="s">
        <v>1948</v>
      </c>
      <c r="F22" s="5" t="s">
        <v>1949</v>
      </c>
      <c r="G22" s="5" t="s">
        <v>124</v>
      </c>
      <c r="H22" s="5" t="s">
        <v>1846</v>
      </c>
    </row>
    <row r="23" customFormat="false" ht="57.75" hidden="false" customHeight="true" outlineLevel="0" collapsed="false">
      <c r="A23" s="4" t="s">
        <v>1950</v>
      </c>
      <c r="B23" s="4" t="s">
        <v>1951</v>
      </c>
      <c r="C23" s="4" t="s">
        <v>1952</v>
      </c>
      <c r="D23" s="4" t="s">
        <v>1953</v>
      </c>
      <c r="E23" s="4" t="s">
        <v>1954</v>
      </c>
      <c r="F23" s="4" t="s">
        <v>1955</v>
      </c>
      <c r="G23" s="4" t="s">
        <v>126</v>
      </c>
      <c r="H23" s="4" t="s">
        <v>1846</v>
      </c>
    </row>
    <row r="24" customFormat="false" ht="57.75" hidden="false" customHeight="true" outlineLevel="0" collapsed="false">
      <c r="A24" s="5" t="s">
        <v>1956</v>
      </c>
      <c r="B24" s="5" t="s">
        <v>1957</v>
      </c>
      <c r="C24" s="5" t="s">
        <v>1958</v>
      </c>
      <c r="D24" s="5" t="s">
        <v>1959</v>
      </c>
      <c r="E24" s="5" t="s">
        <v>1960</v>
      </c>
      <c r="F24" s="5" t="s">
        <v>1961</v>
      </c>
      <c r="G24" s="5" t="s">
        <v>128</v>
      </c>
      <c r="H24" s="5" t="s">
        <v>1846</v>
      </c>
    </row>
    <row r="25" customFormat="false" ht="57.75" hidden="false" customHeight="true" outlineLevel="0" collapsed="false">
      <c r="A25" s="4" t="s">
        <v>1962</v>
      </c>
      <c r="B25" s="4" t="s">
        <v>1963</v>
      </c>
      <c r="C25" s="4" t="s">
        <v>1964</v>
      </c>
      <c r="D25" s="4" t="s">
        <v>1965</v>
      </c>
      <c r="E25" s="4" t="s">
        <v>1966</v>
      </c>
      <c r="F25" s="4" t="s">
        <v>1967</v>
      </c>
      <c r="G25" s="4" t="s">
        <v>126</v>
      </c>
      <c r="H25" s="4" t="s">
        <v>1846</v>
      </c>
    </row>
    <row r="26" customFormat="false" ht="57.75" hidden="false" customHeight="true" outlineLevel="0" collapsed="false">
      <c r="A26" s="5" t="s">
        <v>1968</v>
      </c>
      <c r="B26" s="5" t="s">
        <v>1969</v>
      </c>
      <c r="C26" s="5" t="s">
        <v>1970</v>
      </c>
      <c r="D26" s="5" t="s">
        <v>1971</v>
      </c>
      <c r="E26" s="5" t="s">
        <v>1972</v>
      </c>
      <c r="F26" s="5" t="s">
        <v>1973</v>
      </c>
      <c r="G26" s="5" t="s">
        <v>126</v>
      </c>
      <c r="H26" s="5" t="s">
        <v>1974</v>
      </c>
    </row>
    <row r="27" customFormat="false" ht="57.75" hidden="false" customHeight="true" outlineLevel="0" collapsed="false">
      <c r="A27" s="4" t="s">
        <v>1975</v>
      </c>
      <c r="B27" s="4" t="s">
        <v>1976</v>
      </c>
      <c r="C27" s="4" t="s">
        <v>1977</v>
      </c>
      <c r="D27" s="4" t="s">
        <v>1978</v>
      </c>
      <c r="E27" s="4" t="s">
        <v>1979</v>
      </c>
      <c r="F27" s="4" t="s">
        <v>1980</v>
      </c>
      <c r="G27" s="4" t="s">
        <v>124</v>
      </c>
      <c r="H27" s="4" t="s">
        <v>1846</v>
      </c>
    </row>
    <row r="28" customFormat="false" ht="57.75" hidden="false" customHeight="true" outlineLevel="0" collapsed="false">
      <c r="A28" s="5" t="s">
        <v>1981</v>
      </c>
      <c r="B28" s="5" t="s">
        <v>1982</v>
      </c>
      <c r="C28" s="5" t="s">
        <v>1983</v>
      </c>
      <c r="D28" s="5" t="s">
        <v>1984</v>
      </c>
      <c r="E28" s="5" t="s">
        <v>1985</v>
      </c>
      <c r="F28" s="5" t="s">
        <v>1986</v>
      </c>
      <c r="G28" s="5" t="s">
        <v>126</v>
      </c>
      <c r="H28" s="5" t="s">
        <v>1987</v>
      </c>
    </row>
    <row r="29" customFormat="false" ht="57.75" hidden="false" customHeight="true" outlineLevel="0" collapsed="false">
      <c r="A29" s="4" t="s">
        <v>1988</v>
      </c>
      <c r="B29" s="4" t="s">
        <v>1989</v>
      </c>
      <c r="C29" s="4" t="s">
        <v>1990</v>
      </c>
      <c r="D29" s="4" t="s">
        <v>1991</v>
      </c>
      <c r="E29" s="4" t="s">
        <v>1992</v>
      </c>
      <c r="F29" s="4" t="s">
        <v>1993</v>
      </c>
      <c r="G29" s="4" t="s">
        <v>124</v>
      </c>
      <c r="H29" s="4" t="s">
        <v>1846</v>
      </c>
    </row>
    <row r="30" customFormat="false" ht="57.75" hidden="false" customHeight="true" outlineLevel="0" collapsed="false">
      <c r="A30" s="5" t="s">
        <v>1994</v>
      </c>
      <c r="B30" s="5" t="s">
        <v>1995</v>
      </c>
      <c r="C30" s="5" t="s">
        <v>1996</v>
      </c>
      <c r="D30" s="5" t="s">
        <v>1997</v>
      </c>
      <c r="E30" s="5" t="s">
        <v>1998</v>
      </c>
      <c r="F30" s="5" t="s">
        <v>1999</v>
      </c>
      <c r="G30" s="5" t="s">
        <v>124</v>
      </c>
      <c r="H30" s="5" t="s">
        <v>1846</v>
      </c>
    </row>
    <row r="31" customFormat="false" ht="57.75" hidden="false" customHeight="true" outlineLevel="0" collapsed="false">
      <c r="A31" s="4" t="s">
        <v>2000</v>
      </c>
      <c r="B31" s="4" t="s">
        <v>2001</v>
      </c>
      <c r="C31" s="4" t="s">
        <v>2002</v>
      </c>
      <c r="D31" s="4" t="s">
        <v>2003</v>
      </c>
      <c r="E31" s="4" t="s">
        <v>2004</v>
      </c>
      <c r="F31" s="4" t="s">
        <v>2005</v>
      </c>
      <c r="G31" s="4" t="s">
        <v>124</v>
      </c>
      <c r="H31" s="4" t="s">
        <v>1846</v>
      </c>
    </row>
    <row r="32" customFormat="false" ht="57.75" hidden="false" customHeight="true" outlineLevel="0" collapsed="false">
      <c r="A32" s="5" t="s">
        <v>2006</v>
      </c>
      <c r="B32" s="5" t="s">
        <v>2007</v>
      </c>
      <c r="C32" s="5" t="s">
        <v>2008</v>
      </c>
      <c r="D32" s="5" t="s">
        <v>2009</v>
      </c>
      <c r="E32" s="5" t="s">
        <v>2010</v>
      </c>
      <c r="F32" s="5" t="s">
        <v>2011</v>
      </c>
      <c r="G32" s="5" t="s">
        <v>124</v>
      </c>
      <c r="H32" s="5" t="s">
        <v>1846</v>
      </c>
    </row>
    <row r="33" customFormat="false" ht="57.75" hidden="false" customHeight="true" outlineLevel="0" collapsed="false">
      <c r="A33" s="4" t="s">
        <v>2012</v>
      </c>
      <c r="B33" s="4" t="s">
        <v>2013</v>
      </c>
      <c r="C33" s="4" t="s">
        <v>2014</v>
      </c>
      <c r="D33" s="4" t="s">
        <v>2015</v>
      </c>
      <c r="E33" s="4" t="s">
        <v>2016</v>
      </c>
      <c r="F33" s="4" t="s">
        <v>2017</v>
      </c>
      <c r="G33" s="4" t="s">
        <v>124</v>
      </c>
      <c r="H33" s="4" t="s">
        <v>1846</v>
      </c>
    </row>
    <row r="34" customFormat="false" ht="57.75" hidden="false" customHeight="true" outlineLevel="0" collapsed="false">
      <c r="A34" s="5" t="s">
        <v>2018</v>
      </c>
      <c r="B34" s="5" t="s">
        <v>2019</v>
      </c>
      <c r="C34" s="5" t="s">
        <v>2020</v>
      </c>
      <c r="D34" s="5" t="s">
        <v>2021</v>
      </c>
      <c r="E34" s="5" t="s">
        <v>2022</v>
      </c>
      <c r="F34" s="5" t="s">
        <v>2023</v>
      </c>
      <c r="G34" s="5" t="s">
        <v>124</v>
      </c>
      <c r="H34" s="5" t="s">
        <v>1846</v>
      </c>
    </row>
    <row r="35" customFormat="false" ht="57.75" hidden="false" customHeight="true" outlineLevel="0" collapsed="false">
      <c r="A35" s="4" t="s">
        <v>2024</v>
      </c>
      <c r="B35" s="4" t="s">
        <v>2025</v>
      </c>
      <c r="C35" s="4" t="s">
        <v>2026</v>
      </c>
      <c r="D35" s="4" t="s">
        <v>2027</v>
      </c>
      <c r="E35" s="4" t="s">
        <v>2028</v>
      </c>
      <c r="F35" s="4" t="s">
        <v>2029</v>
      </c>
      <c r="G35" s="4" t="s">
        <v>126</v>
      </c>
      <c r="H35" s="4" t="s">
        <v>1846</v>
      </c>
    </row>
    <row r="36" customFormat="false" ht="57.75" hidden="false" customHeight="true" outlineLevel="0" collapsed="false">
      <c r="A36" s="5" t="s">
        <v>2030</v>
      </c>
      <c r="B36" s="5" t="s">
        <v>2031</v>
      </c>
      <c r="C36" s="5" t="s">
        <v>2032</v>
      </c>
      <c r="D36" s="5" t="s">
        <v>2033</v>
      </c>
      <c r="E36" s="5" t="s">
        <v>2034</v>
      </c>
      <c r="F36" s="5" t="s">
        <v>2035</v>
      </c>
      <c r="G36" s="5" t="s">
        <v>126</v>
      </c>
      <c r="H36" s="5" t="s">
        <v>1846</v>
      </c>
    </row>
    <row r="37" customFormat="false" ht="57.75" hidden="false" customHeight="true" outlineLevel="0" collapsed="false">
      <c r="A37" s="4" t="s">
        <v>2036</v>
      </c>
      <c r="B37" s="4" t="s">
        <v>2037</v>
      </c>
      <c r="C37" s="4" t="s">
        <v>2038</v>
      </c>
      <c r="D37" s="4" t="s">
        <v>2039</v>
      </c>
      <c r="E37" s="4" t="s">
        <v>2040</v>
      </c>
      <c r="F37" s="4" t="s">
        <v>2041</v>
      </c>
      <c r="G37" s="4" t="s">
        <v>126</v>
      </c>
      <c r="H37" s="4" t="s">
        <v>1846</v>
      </c>
    </row>
    <row r="38" customFormat="false" ht="57.75" hidden="false" customHeight="true" outlineLevel="0" collapsed="false">
      <c r="A38" s="5" t="s">
        <v>2042</v>
      </c>
      <c r="B38" s="5" t="s">
        <v>2043</v>
      </c>
      <c r="C38" s="5" t="s">
        <v>2044</v>
      </c>
      <c r="D38" s="5" t="s">
        <v>2045</v>
      </c>
      <c r="E38" s="5" t="s">
        <v>2046</v>
      </c>
      <c r="F38" s="5" t="s">
        <v>2047</v>
      </c>
      <c r="G38" s="5" t="s">
        <v>124</v>
      </c>
      <c r="H38" s="5" t="s">
        <v>1846</v>
      </c>
    </row>
    <row r="39" customFormat="false" ht="57.75" hidden="false" customHeight="true" outlineLevel="0" collapsed="false">
      <c r="A39" s="4" t="s">
        <v>2048</v>
      </c>
      <c r="B39" s="4" t="s">
        <v>2049</v>
      </c>
      <c r="C39" s="4" t="s">
        <v>2050</v>
      </c>
      <c r="D39" s="4" t="s">
        <v>2051</v>
      </c>
      <c r="E39" s="4" t="s">
        <v>2052</v>
      </c>
      <c r="F39" s="4" t="s">
        <v>2053</v>
      </c>
      <c r="G39" s="4" t="s">
        <v>124</v>
      </c>
      <c r="H39" s="4" t="s">
        <v>1846</v>
      </c>
    </row>
    <row r="40" customFormat="false" ht="57.75" hidden="false" customHeight="true" outlineLevel="0" collapsed="false">
      <c r="A40" s="5" t="s">
        <v>2054</v>
      </c>
      <c r="B40" s="5" t="s">
        <v>2055</v>
      </c>
      <c r="C40" s="5" t="s">
        <v>2056</v>
      </c>
      <c r="D40" s="5" t="s">
        <v>2057</v>
      </c>
      <c r="E40" s="5" t="s">
        <v>2058</v>
      </c>
      <c r="F40" s="5" t="s">
        <v>2059</v>
      </c>
      <c r="G40" s="5" t="s">
        <v>124</v>
      </c>
      <c r="H40" s="5" t="s">
        <v>1846</v>
      </c>
    </row>
    <row r="41" customFormat="false" ht="57.75" hidden="false" customHeight="true" outlineLevel="0" collapsed="false">
      <c r="A41" s="4" t="s">
        <v>2060</v>
      </c>
      <c r="B41" s="4" t="s">
        <v>2061</v>
      </c>
      <c r="C41" s="4" t="s">
        <v>2062</v>
      </c>
      <c r="D41" s="4" t="s">
        <v>2063</v>
      </c>
      <c r="E41" s="4" t="s">
        <v>2064</v>
      </c>
      <c r="F41" s="4" t="s">
        <v>2065</v>
      </c>
      <c r="G41" s="4" t="s">
        <v>124</v>
      </c>
      <c r="H41" s="4" t="s">
        <v>1846</v>
      </c>
    </row>
    <row r="42" customFormat="false" ht="57.75" hidden="false" customHeight="true" outlineLevel="0" collapsed="false">
      <c r="A42" s="5" t="s">
        <v>2066</v>
      </c>
      <c r="B42" s="5" t="s">
        <v>2067</v>
      </c>
      <c r="C42" s="5" t="s">
        <v>2068</v>
      </c>
      <c r="D42" s="5" t="s">
        <v>2069</v>
      </c>
      <c r="E42" s="5" t="s">
        <v>2070</v>
      </c>
      <c r="F42" s="5" t="s">
        <v>2071</v>
      </c>
      <c r="G42" s="5" t="s">
        <v>124</v>
      </c>
      <c r="H42" s="5" t="s">
        <v>1846</v>
      </c>
    </row>
    <row r="43" customFormat="false" ht="57.75" hidden="false" customHeight="true" outlineLevel="0" collapsed="false">
      <c r="A43" s="4" t="s">
        <v>2072</v>
      </c>
      <c r="B43" s="4" t="s">
        <v>2073</v>
      </c>
      <c r="C43" s="4" t="s">
        <v>2074</v>
      </c>
      <c r="D43" s="4" t="s">
        <v>2075</v>
      </c>
      <c r="E43" s="4" t="s">
        <v>2076</v>
      </c>
      <c r="F43" s="4" t="s">
        <v>2077</v>
      </c>
      <c r="G43" s="4" t="s">
        <v>126</v>
      </c>
      <c r="H43" s="4" t="s">
        <v>1846</v>
      </c>
    </row>
    <row r="44" customFormat="false" ht="57.75" hidden="false" customHeight="true" outlineLevel="0" collapsed="false">
      <c r="A44" s="5" t="s">
        <v>2078</v>
      </c>
      <c r="B44" s="5" t="s">
        <v>2079</v>
      </c>
      <c r="C44" s="5" t="s">
        <v>2080</v>
      </c>
      <c r="D44" s="5" t="s">
        <v>2081</v>
      </c>
      <c r="E44" s="5" t="s">
        <v>2082</v>
      </c>
      <c r="F44" s="5" t="s">
        <v>2083</v>
      </c>
      <c r="G44" s="5" t="s">
        <v>124</v>
      </c>
      <c r="H44" s="5" t="s">
        <v>1846</v>
      </c>
    </row>
    <row r="45" customFormat="false" ht="57.75" hidden="false" customHeight="true" outlineLevel="0" collapsed="false">
      <c r="A45" s="4" t="s">
        <v>2084</v>
      </c>
      <c r="B45" s="4" t="s">
        <v>2085</v>
      </c>
      <c r="C45" s="4" t="s">
        <v>2086</v>
      </c>
      <c r="D45" s="4" t="s">
        <v>2087</v>
      </c>
      <c r="E45" s="4" t="s">
        <v>2088</v>
      </c>
      <c r="F45" s="4" t="s">
        <v>2089</v>
      </c>
      <c r="G45" s="4" t="s">
        <v>124</v>
      </c>
      <c r="H45" s="4" t="s">
        <v>1846</v>
      </c>
    </row>
    <row r="46" customFormat="false" ht="57.75" hidden="false" customHeight="true" outlineLevel="0" collapsed="false">
      <c r="A46" s="5" t="s">
        <v>2090</v>
      </c>
      <c r="B46" s="5" t="s">
        <v>2091</v>
      </c>
      <c r="C46" s="5" t="s">
        <v>2092</v>
      </c>
      <c r="D46" s="5" t="s">
        <v>2093</v>
      </c>
      <c r="E46" s="5" t="s">
        <v>2094</v>
      </c>
      <c r="F46" s="5" t="s">
        <v>2095</v>
      </c>
      <c r="G46" s="5" t="s">
        <v>126</v>
      </c>
      <c r="H46" s="5" t="s">
        <v>1846</v>
      </c>
    </row>
    <row r="47" customFormat="false" ht="57.75" hidden="false" customHeight="true" outlineLevel="0" collapsed="false">
      <c r="A47" s="4" t="s">
        <v>2096</v>
      </c>
      <c r="B47" s="4" t="s">
        <v>2097</v>
      </c>
      <c r="C47" s="4" t="s">
        <v>2098</v>
      </c>
      <c r="D47" s="4" t="s">
        <v>2099</v>
      </c>
      <c r="E47" s="4" t="s">
        <v>2100</v>
      </c>
      <c r="F47" s="4" t="s">
        <v>2101</v>
      </c>
      <c r="G47" s="4" t="s">
        <v>126</v>
      </c>
      <c r="H47" s="4" t="s">
        <v>1846</v>
      </c>
    </row>
    <row r="48" customFormat="false" ht="57.75" hidden="false" customHeight="true" outlineLevel="0" collapsed="false">
      <c r="A48" s="5" t="s">
        <v>2102</v>
      </c>
      <c r="B48" s="5" t="s">
        <v>2103</v>
      </c>
      <c r="C48" s="5" t="s">
        <v>2104</v>
      </c>
      <c r="D48" s="5" t="s">
        <v>2105</v>
      </c>
      <c r="E48" s="5" t="s">
        <v>2106</v>
      </c>
      <c r="F48" s="5" t="s">
        <v>2107</v>
      </c>
      <c r="G48" s="5" t="s">
        <v>124</v>
      </c>
      <c r="H48" s="5" t="s">
        <v>1846</v>
      </c>
    </row>
    <row r="49" customFormat="false" ht="57.75" hidden="false" customHeight="true" outlineLevel="0" collapsed="false">
      <c r="A49" s="4" t="s">
        <v>2108</v>
      </c>
      <c r="B49" s="4" t="s">
        <v>2109</v>
      </c>
      <c r="C49" s="4" t="s">
        <v>2110</v>
      </c>
      <c r="D49" s="4" t="s">
        <v>2111</v>
      </c>
      <c r="E49" s="4" t="s">
        <v>2112</v>
      </c>
      <c r="F49" s="4" t="s">
        <v>2113</v>
      </c>
      <c r="G49" s="4" t="s">
        <v>124</v>
      </c>
      <c r="H49" s="4" t="s">
        <v>1846</v>
      </c>
    </row>
    <row r="50" customFormat="false" ht="57.75" hidden="false" customHeight="true" outlineLevel="0" collapsed="false">
      <c r="A50" s="5" t="s">
        <v>2114</v>
      </c>
      <c r="B50" s="5" t="s">
        <v>2115</v>
      </c>
      <c r="C50" s="5" t="s">
        <v>2116</v>
      </c>
      <c r="D50" s="5" t="s">
        <v>2117</v>
      </c>
      <c r="E50" s="5" t="s">
        <v>2118</v>
      </c>
      <c r="F50" s="5" t="s">
        <v>2119</v>
      </c>
      <c r="G50" s="5" t="s">
        <v>124</v>
      </c>
      <c r="H50" s="5" t="s">
        <v>1846</v>
      </c>
    </row>
    <row r="51" customFormat="false" ht="57.75" hidden="false" customHeight="true" outlineLevel="0" collapsed="false">
      <c r="A51" s="4" t="s">
        <v>2120</v>
      </c>
      <c r="B51" s="4" t="s">
        <v>2121</v>
      </c>
      <c r="C51" s="4" t="s">
        <v>2122</v>
      </c>
      <c r="D51" s="4" t="s">
        <v>2123</v>
      </c>
      <c r="E51" s="4" t="s">
        <v>2124</v>
      </c>
      <c r="F51" s="4" t="s">
        <v>2125</v>
      </c>
      <c r="G51" s="4" t="s">
        <v>124</v>
      </c>
      <c r="H51" s="4" t="s">
        <v>1846</v>
      </c>
    </row>
    <row r="52" customFormat="false" ht="57.75" hidden="false" customHeight="true" outlineLevel="0" collapsed="false">
      <c r="A52" s="5" t="s">
        <v>2126</v>
      </c>
      <c r="B52" s="5" t="s">
        <v>2127</v>
      </c>
      <c r="C52" s="5" t="s">
        <v>2128</v>
      </c>
      <c r="D52" s="5" t="s">
        <v>2129</v>
      </c>
      <c r="E52" s="5" t="s">
        <v>2130</v>
      </c>
      <c r="F52" s="5" t="s">
        <v>2131</v>
      </c>
      <c r="G52" s="5" t="s">
        <v>126</v>
      </c>
      <c r="H52" s="5" t="s">
        <v>2132</v>
      </c>
    </row>
    <row r="53" customFormat="false" ht="57.75" hidden="false" customHeight="true" outlineLevel="0" collapsed="false">
      <c r="A53" s="4" t="s">
        <v>2133</v>
      </c>
      <c r="B53" s="4" t="s">
        <v>2134</v>
      </c>
      <c r="C53" s="4" t="s">
        <v>2135</v>
      </c>
      <c r="D53" s="4" t="s">
        <v>2136</v>
      </c>
      <c r="E53" s="4" t="s">
        <v>2137</v>
      </c>
      <c r="F53" s="4" t="s">
        <v>2138</v>
      </c>
      <c r="G53" s="4" t="s">
        <v>124</v>
      </c>
      <c r="H53" s="4" t="s">
        <v>2139</v>
      </c>
    </row>
    <row r="54" customFormat="false" ht="57.75" hidden="false" customHeight="true" outlineLevel="0" collapsed="false">
      <c r="A54" s="5" t="s">
        <v>2140</v>
      </c>
      <c r="B54" s="5" t="s">
        <v>2141</v>
      </c>
      <c r="C54" s="5" t="s">
        <v>2142</v>
      </c>
      <c r="D54" s="5" t="s">
        <v>2143</v>
      </c>
      <c r="E54" s="5" t="s">
        <v>2144</v>
      </c>
      <c r="F54" s="5" t="s">
        <v>2145</v>
      </c>
      <c r="G54" s="5" t="s">
        <v>126</v>
      </c>
      <c r="H54" s="5" t="s">
        <v>2146</v>
      </c>
    </row>
    <row r="55" customFormat="false" ht="57.75" hidden="false" customHeight="true" outlineLevel="0" collapsed="false">
      <c r="A55" s="4" t="s">
        <v>2147</v>
      </c>
      <c r="B55" s="4" t="s">
        <v>2148</v>
      </c>
      <c r="C55" s="4" t="s">
        <v>2149</v>
      </c>
      <c r="D55" s="4" t="s">
        <v>2150</v>
      </c>
      <c r="E55" s="4" t="s">
        <v>2151</v>
      </c>
      <c r="F55" s="4" t="s">
        <v>2152</v>
      </c>
      <c r="G55" s="4" t="s">
        <v>124</v>
      </c>
      <c r="H55" s="4" t="s">
        <v>2153</v>
      </c>
    </row>
    <row r="56" customFormat="false" ht="57.75" hidden="false" customHeight="true" outlineLevel="0" collapsed="false">
      <c r="A56" s="5" t="s">
        <v>2154</v>
      </c>
      <c r="B56" s="5" t="s">
        <v>2155</v>
      </c>
      <c r="C56" s="5" t="s">
        <v>2156</v>
      </c>
      <c r="D56" s="5" t="s">
        <v>2157</v>
      </c>
      <c r="E56" s="5" t="s">
        <v>2158</v>
      </c>
      <c r="F56" s="5" t="s">
        <v>2159</v>
      </c>
      <c r="G56" s="5" t="s">
        <v>124</v>
      </c>
      <c r="H56" s="5" t="s">
        <v>1846</v>
      </c>
    </row>
    <row r="57" customFormat="false" ht="57.75" hidden="false" customHeight="true" outlineLevel="0" collapsed="false">
      <c r="A57" s="4" t="s">
        <v>2160</v>
      </c>
      <c r="B57" s="4" t="s">
        <v>2161</v>
      </c>
      <c r="C57" s="4" t="s">
        <v>2162</v>
      </c>
      <c r="D57" s="4" t="s">
        <v>2163</v>
      </c>
      <c r="E57" s="4" t="s">
        <v>2164</v>
      </c>
      <c r="F57" s="4" t="s">
        <v>2165</v>
      </c>
      <c r="G57" s="4" t="s">
        <v>126</v>
      </c>
      <c r="H57" s="4" t="s">
        <v>1846</v>
      </c>
    </row>
    <row r="58" customFormat="false" ht="57.75" hidden="false" customHeight="true" outlineLevel="0" collapsed="false">
      <c r="A58" s="5" t="s">
        <v>2166</v>
      </c>
      <c r="B58" s="5" t="s">
        <v>2167</v>
      </c>
      <c r="C58" s="5" t="s">
        <v>2168</v>
      </c>
      <c r="D58" s="5" t="s">
        <v>2169</v>
      </c>
      <c r="E58" s="5" t="s">
        <v>2170</v>
      </c>
      <c r="F58" s="5" t="s">
        <v>2171</v>
      </c>
      <c r="G58" s="5" t="s">
        <v>124</v>
      </c>
      <c r="H58" s="5" t="s">
        <v>1846</v>
      </c>
    </row>
    <row r="59" customFormat="false" ht="57.75" hidden="false" customHeight="true" outlineLevel="0" collapsed="false">
      <c r="A59" s="4" t="s">
        <v>2172</v>
      </c>
      <c r="B59" s="4" t="s">
        <v>2173</v>
      </c>
      <c r="C59" s="4" t="s">
        <v>2174</v>
      </c>
      <c r="D59" s="4" t="s">
        <v>2175</v>
      </c>
      <c r="E59" s="4" t="s">
        <v>2176</v>
      </c>
      <c r="F59" s="4" t="s">
        <v>2177</v>
      </c>
      <c r="G59" s="4" t="s">
        <v>126</v>
      </c>
      <c r="H59" s="4" t="s">
        <v>1846</v>
      </c>
    </row>
    <row r="60" customFormat="false" ht="57.75" hidden="false" customHeight="true" outlineLevel="0" collapsed="false">
      <c r="A60" s="5" t="s">
        <v>2178</v>
      </c>
      <c r="B60" s="5" t="s">
        <v>2179</v>
      </c>
      <c r="C60" s="5" t="s">
        <v>2180</v>
      </c>
      <c r="D60" s="5" t="s">
        <v>2181</v>
      </c>
      <c r="E60" s="5" t="s">
        <v>2182</v>
      </c>
      <c r="F60" s="5" t="s">
        <v>2183</v>
      </c>
      <c r="G60" s="5" t="s">
        <v>124</v>
      </c>
      <c r="H60" s="5" t="s">
        <v>1846</v>
      </c>
    </row>
    <row r="61" customFormat="false" ht="57.75" hidden="false" customHeight="true" outlineLevel="0" collapsed="false">
      <c r="A61" s="4" t="s">
        <v>2184</v>
      </c>
      <c r="B61" s="4" t="s">
        <v>2185</v>
      </c>
      <c r="C61" s="4" t="s">
        <v>2186</v>
      </c>
      <c r="D61" s="4" t="s">
        <v>2187</v>
      </c>
      <c r="E61" s="4" t="s">
        <v>2188</v>
      </c>
      <c r="F61" s="4" t="s">
        <v>2189</v>
      </c>
      <c r="G61" s="4" t="s">
        <v>128</v>
      </c>
      <c r="H61" s="4" t="s">
        <v>1846</v>
      </c>
    </row>
    <row r="62" customFormat="false" ht="57.75" hidden="false" customHeight="true" outlineLevel="0" collapsed="false">
      <c r="A62" s="5" t="s">
        <v>2190</v>
      </c>
      <c r="B62" s="5" t="s">
        <v>2191</v>
      </c>
      <c r="C62" s="5" t="s">
        <v>2192</v>
      </c>
      <c r="D62" s="5" t="s">
        <v>2193</v>
      </c>
      <c r="E62" s="5" t="s">
        <v>2194</v>
      </c>
      <c r="F62" s="5" t="s">
        <v>2195</v>
      </c>
      <c r="G62" s="5" t="s">
        <v>124</v>
      </c>
      <c r="H62" s="5" t="s">
        <v>1846</v>
      </c>
    </row>
    <row r="63" customFormat="false" ht="57.75" hidden="false" customHeight="true" outlineLevel="0" collapsed="false">
      <c r="A63" s="4" t="s">
        <v>2196</v>
      </c>
      <c r="B63" s="4" t="s">
        <v>2197</v>
      </c>
      <c r="C63" s="4" t="s">
        <v>2198</v>
      </c>
      <c r="D63" s="4" t="s">
        <v>2199</v>
      </c>
      <c r="E63" s="4" t="s">
        <v>2200</v>
      </c>
      <c r="F63" s="4" t="s">
        <v>2201</v>
      </c>
      <c r="G63" s="4" t="s">
        <v>128</v>
      </c>
      <c r="H63" s="4" t="s">
        <v>1846</v>
      </c>
    </row>
  </sheetData>
  <autoFilter ref="A4:H4"/>
  <conditionalFormatting sqref="G5:G63">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2202</v>
      </c>
    </row>
    <row r="2" customFormat="false" ht="15" hidden="false" customHeight="false" outlineLevel="0" collapsed="false">
      <c r="A2" s="2" t="s">
        <v>2203</v>
      </c>
    </row>
    <row r="4" customFormat="false" ht="30" hidden="false" customHeight="true" outlineLevel="0" collapsed="false">
      <c r="A4" s="3" t="s">
        <v>608</v>
      </c>
      <c r="B4" s="3" t="s">
        <v>609</v>
      </c>
      <c r="C4" s="3" t="s">
        <v>844</v>
      </c>
      <c r="D4" s="3" t="s">
        <v>611</v>
      </c>
      <c r="E4" s="3" t="s">
        <v>612</v>
      </c>
      <c r="F4" s="3" t="s">
        <v>613</v>
      </c>
      <c r="G4" s="3" t="s">
        <v>2204</v>
      </c>
      <c r="H4" s="3" t="s">
        <v>2205</v>
      </c>
      <c r="I4" s="3" t="s">
        <v>615</v>
      </c>
      <c r="J4" s="3" t="s">
        <v>2206</v>
      </c>
    </row>
    <row r="5" customFormat="false" ht="43.5" hidden="false" customHeight="true" outlineLevel="0" collapsed="false">
      <c r="A5" s="4" t="s">
        <v>616</v>
      </c>
      <c r="B5" s="4" t="s">
        <v>617</v>
      </c>
      <c r="C5" s="4" t="s">
        <v>618</v>
      </c>
      <c r="D5" s="4" t="s">
        <v>619</v>
      </c>
      <c r="E5" s="4" t="s">
        <v>619</v>
      </c>
      <c r="F5" s="4" t="s">
        <v>620</v>
      </c>
      <c r="G5" s="4" t="s">
        <v>2207</v>
      </c>
      <c r="H5" s="24" t="s">
        <v>2208</v>
      </c>
      <c r="I5" s="4" t="s">
        <v>622</v>
      </c>
      <c r="J5" s="4" t="s">
        <v>2209</v>
      </c>
    </row>
    <row r="6" customFormat="false" ht="43.5" hidden="false" customHeight="true" outlineLevel="0" collapsed="false">
      <c r="A6" s="5" t="s">
        <v>623</v>
      </c>
      <c r="B6" s="5" t="s">
        <v>624</v>
      </c>
      <c r="C6" s="5" t="s">
        <v>625</v>
      </c>
      <c r="D6" s="5" t="s">
        <v>626</v>
      </c>
      <c r="E6" s="5" t="s">
        <v>627</v>
      </c>
      <c r="F6" s="5" t="s">
        <v>628</v>
      </c>
      <c r="G6" s="5" t="s">
        <v>2210</v>
      </c>
      <c r="H6" s="25" t="s">
        <v>2211</v>
      </c>
      <c r="I6" s="5" t="s">
        <v>622</v>
      </c>
      <c r="J6" s="5" t="s">
        <v>2209</v>
      </c>
    </row>
    <row r="7" customFormat="false" ht="43.5" hidden="false" customHeight="true" outlineLevel="0" collapsed="false">
      <c r="A7" s="4" t="s">
        <v>630</v>
      </c>
      <c r="B7" s="4" t="s">
        <v>617</v>
      </c>
      <c r="C7" s="4" t="s">
        <v>631</v>
      </c>
      <c r="D7" s="4" t="s">
        <v>632</v>
      </c>
      <c r="E7" s="4" t="s">
        <v>633</v>
      </c>
      <c r="F7" s="4" t="s">
        <v>634</v>
      </c>
      <c r="G7" s="4" t="s">
        <v>2212</v>
      </c>
      <c r="H7" s="24" t="s">
        <v>2213</v>
      </c>
      <c r="I7" s="4" t="s">
        <v>622</v>
      </c>
      <c r="J7" s="4" t="s">
        <v>2209</v>
      </c>
    </row>
    <row r="8" customFormat="false" ht="43.5" hidden="false" customHeight="true" outlineLevel="0" collapsed="false">
      <c r="A8" s="5" t="s">
        <v>636</v>
      </c>
      <c r="B8" s="5" t="s">
        <v>637</v>
      </c>
      <c r="C8" s="5" t="s">
        <v>638</v>
      </c>
      <c r="D8" s="5" t="s">
        <v>639</v>
      </c>
      <c r="E8" s="5" t="s">
        <v>640</v>
      </c>
      <c r="F8" s="5" t="s">
        <v>641</v>
      </c>
      <c r="G8" s="5" t="s">
        <v>2214</v>
      </c>
      <c r="H8" s="25" t="s">
        <v>2215</v>
      </c>
      <c r="I8" s="5" t="s">
        <v>622</v>
      </c>
      <c r="J8" s="5" t="s">
        <v>2209</v>
      </c>
    </row>
    <row r="9" customFormat="false" ht="43.5" hidden="false" customHeight="true" outlineLevel="0" collapsed="false">
      <c r="A9" s="4" t="s">
        <v>643</v>
      </c>
      <c r="B9" s="4" t="s">
        <v>637</v>
      </c>
      <c r="C9" s="4" t="s">
        <v>644</v>
      </c>
      <c r="D9" s="4" t="s">
        <v>645</v>
      </c>
      <c r="E9" s="4" t="s">
        <v>646</v>
      </c>
      <c r="F9" s="4" t="s">
        <v>647</v>
      </c>
      <c r="G9" s="4" t="s">
        <v>2216</v>
      </c>
      <c r="H9" s="24" t="s">
        <v>2217</v>
      </c>
      <c r="I9" s="4" t="s">
        <v>649</v>
      </c>
      <c r="J9" s="4" t="s">
        <v>2209</v>
      </c>
    </row>
    <row r="10" customFormat="false" ht="43.5" hidden="false" customHeight="true" outlineLevel="0" collapsed="false">
      <c r="A10" s="5" t="s">
        <v>650</v>
      </c>
      <c r="B10" s="5" t="s">
        <v>195</v>
      </c>
      <c r="C10" s="5" t="s">
        <v>651</v>
      </c>
      <c r="D10" s="5" t="s">
        <v>652</v>
      </c>
      <c r="E10" s="5" t="s">
        <v>653</v>
      </c>
      <c r="F10" s="5" t="s">
        <v>654</v>
      </c>
      <c r="G10" s="5" t="s">
        <v>2218</v>
      </c>
      <c r="H10" s="25" t="s">
        <v>2219</v>
      </c>
      <c r="I10" s="5" t="s">
        <v>622</v>
      </c>
      <c r="J10" s="5" t="s">
        <v>2209</v>
      </c>
    </row>
    <row r="11" customFormat="false" ht="43.5" hidden="false" customHeight="true" outlineLevel="0" collapsed="false">
      <c r="A11" s="4" t="s">
        <v>656</v>
      </c>
      <c r="B11" s="4" t="s">
        <v>195</v>
      </c>
      <c r="C11" s="4" t="s">
        <v>657</v>
      </c>
      <c r="D11" s="4" t="s">
        <v>658</v>
      </c>
      <c r="E11" s="4" t="s">
        <v>653</v>
      </c>
      <c r="F11" s="4" t="s">
        <v>659</v>
      </c>
      <c r="G11" s="4" t="s">
        <v>2220</v>
      </c>
      <c r="H11" s="24" t="s">
        <v>2219</v>
      </c>
      <c r="I11" s="4" t="s">
        <v>622</v>
      </c>
      <c r="J11" s="4" t="s">
        <v>2209</v>
      </c>
    </row>
    <row r="12" customFormat="false" ht="43.5" hidden="false" customHeight="true" outlineLevel="0" collapsed="false">
      <c r="A12" s="5" t="s">
        <v>661</v>
      </c>
      <c r="B12" s="5" t="s">
        <v>195</v>
      </c>
      <c r="C12" s="5" t="s">
        <v>662</v>
      </c>
      <c r="D12" s="5" t="s">
        <v>663</v>
      </c>
      <c r="E12" s="5" t="s">
        <v>664</v>
      </c>
      <c r="F12" s="5" t="s">
        <v>665</v>
      </c>
      <c r="G12" s="5" t="s">
        <v>2221</v>
      </c>
      <c r="H12" s="25" t="s">
        <v>2222</v>
      </c>
      <c r="I12" s="5" t="s">
        <v>622</v>
      </c>
      <c r="J12" s="5" t="s">
        <v>2209</v>
      </c>
    </row>
    <row r="13" customFormat="false" ht="43.5" hidden="false" customHeight="true" outlineLevel="0" collapsed="false">
      <c r="A13" s="4" t="s">
        <v>667</v>
      </c>
      <c r="B13" s="4" t="s">
        <v>192</v>
      </c>
      <c r="C13" s="4" t="s">
        <v>668</v>
      </c>
      <c r="D13" s="4" t="s">
        <v>669</v>
      </c>
      <c r="E13" s="4" t="s">
        <v>670</v>
      </c>
      <c r="F13" s="4" t="s">
        <v>671</v>
      </c>
      <c r="G13" s="4" t="s">
        <v>2223</v>
      </c>
      <c r="H13" s="24" t="s">
        <v>2224</v>
      </c>
      <c r="I13" s="4" t="s">
        <v>622</v>
      </c>
      <c r="J13" s="4" t="s">
        <v>2209</v>
      </c>
    </row>
    <row r="14" customFormat="false" ht="43.5" hidden="false" customHeight="true" outlineLevel="0" collapsed="false">
      <c r="A14" s="5" t="s">
        <v>673</v>
      </c>
      <c r="B14" s="5" t="s">
        <v>192</v>
      </c>
      <c r="C14" s="5" t="s">
        <v>674</v>
      </c>
      <c r="D14" s="5" t="s">
        <v>675</v>
      </c>
      <c r="E14" s="5" t="s">
        <v>640</v>
      </c>
      <c r="F14" s="5" t="s">
        <v>676</v>
      </c>
      <c r="G14" s="5" t="s">
        <v>2225</v>
      </c>
      <c r="H14" s="25" t="s">
        <v>2226</v>
      </c>
      <c r="I14" s="5" t="s">
        <v>622</v>
      </c>
      <c r="J14" s="5" t="s">
        <v>2209</v>
      </c>
    </row>
    <row r="15" customFormat="false" ht="43.5" hidden="false" customHeight="true" outlineLevel="0" collapsed="false">
      <c r="A15" s="4" t="s">
        <v>678</v>
      </c>
      <c r="B15" s="4" t="s">
        <v>192</v>
      </c>
      <c r="C15" s="4" t="s">
        <v>679</v>
      </c>
      <c r="D15" s="4" t="s">
        <v>680</v>
      </c>
      <c r="E15" s="4" t="s">
        <v>681</v>
      </c>
      <c r="F15" s="4" t="s">
        <v>682</v>
      </c>
      <c r="G15" s="4" t="s">
        <v>2227</v>
      </c>
      <c r="H15" s="24" t="s">
        <v>2228</v>
      </c>
      <c r="I15" s="4" t="s">
        <v>622</v>
      </c>
      <c r="J15" s="4" t="s">
        <v>2209</v>
      </c>
    </row>
    <row r="16" customFormat="false" ht="43.5" hidden="false" customHeight="true" outlineLevel="0" collapsed="false">
      <c r="A16" s="5" t="s">
        <v>684</v>
      </c>
      <c r="B16" s="5" t="s">
        <v>219</v>
      </c>
      <c r="C16" s="5" t="s">
        <v>685</v>
      </c>
      <c r="D16" s="5" t="s">
        <v>686</v>
      </c>
      <c r="E16" s="5" t="s">
        <v>687</v>
      </c>
      <c r="F16" s="5" t="s">
        <v>688</v>
      </c>
      <c r="G16" s="5" t="s">
        <v>2229</v>
      </c>
      <c r="H16" s="25" t="s">
        <v>2230</v>
      </c>
      <c r="I16" s="5" t="s">
        <v>622</v>
      </c>
      <c r="J16" s="5" t="s">
        <v>2209</v>
      </c>
    </row>
    <row r="17" customFormat="false" ht="43.5" hidden="false" customHeight="true" outlineLevel="0" collapsed="false">
      <c r="A17" s="4" t="s">
        <v>690</v>
      </c>
      <c r="B17" s="4" t="s">
        <v>691</v>
      </c>
      <c r="C17" s="4" t="s">
        <v>692</v>
      </c>
      <c r="D17" s="4" t="s">
        <v>693</v>
      </c>
      <c r="E17" s="4" t="s">
        <v>633</v>
      </c>
      <c r="F17" s="4" t="s">
        <v>694</v>
      </c>
      <c r="G17" s="4" t="s">
        <v>2231</v>
      </c>
      <c r="H17" s="24" t="s">
        <v>2232</v>
      </c>
      <c r="I17" s="4" t="s">
        <v>622</v>
      </c>
      <c r="J17" s="4" t="s">
        <v>2209</v>
      </c>
    </row>
    <row r="18" customFormat="false" ht="43.5" hidden="false" customHeight="true" outlineLevel="0" collapsed="false">
      <c r="A18" s="5" t="s">
        <v>696</v>
      </c>
      <c r="B18" s="5" t="s">
        <v>219</v>
      </c>
      <c r="C18" s="5" t="s">
        <v>697</v>
      </c>
      <c r="D18" s="5" t="s">
        <v>698</v>
      </c>
      <c r="E18" s="5" t="s">
        <v>640</v>
      </c>
      <c r="F18" s="5" t="s">
        <v>699</v>
      </c>
      <c r="G18" s="5" t="s">
        <v>2233</v>
      </c>
      <c r="H18" s="25" t="s">
        <v>2234</v>
      </c>
      <c r="I18" s="5" t="s">
        <v>622</v>
      </c>
      <c r="J18" s="5" t="s">
        <v>2209</v>
      </c>
    </row>
    <row r="19" customFormat="false" ht="43.5" hidden="false" customHeight="true" outlineLevel="0" collapsed="false">
      <c r="A19" s="4" t="s">
        <v>701</v>
      </c>
      <c r="B19" s="4" t="s">
        <v>367</v>
      </c>
      <c r="C19" s="4" t="s">
        <v>702</v>
      </c>
      <c r="D19" s="4" t="s">
        <v>703</v>
      </c>
      <c r="E19" s="4" t="s">
        <v>704</v>
      </c>
      <c r="F19" s="4" t="s">
        <v>705</v>
      </c>
      <c r="G19" s="4" t="s">
        <v>2235</v>
      </c>
      <c r="H19" s="24" t="s">
        <v>2236</v>
      </c>
      <c r="I19" s="4" t="s">
        <v>622</v>
      </c>
      <c r="J19" s="4" t="s">
        <v>2209</v>
      </c>
    </row>
    <row r="20" customFormat="false" ht="43.5" hidden="false" customHeight="true" outlineLevel="0" collapsed="false">
      <c r="A20" s="5" t="s">
        <v>707</v>
      </c>
      <c r="B20" s="5" t="s">
        <v>367</v>
      </c>
      <c r="C20" s="5" t="s">
        <v>708</v>
      </c>
      <c r="D20" s="5" t="s">
        <v>709</v>
      </c>
      <c r="E20" s="5" t="s">
        <v>704</v>
      </c>
      <c r="F20" s="5" t="s">
        <v>710</v>
      </c>
      <c r="G20" s="5" t="s">
        <v>2237</v>
      </c>
      <c r="H20" s="25" t="s">
        <v>2238</v>
      </c>
      <c r="I20" s="5" t="s">
        <v>622</v>
      </c>
      <c r="J20" s="5" t="s">
        <v>2209</v>
      </c>
    </row>
    <row r="21" customFormat="false" ht="43.5" hidden="false" customHeight="true" outlineLevel="0" collapsed="false">
      <c r="A21" s="4" t="s">
        <v>712</v>
      </c>
      <c r="B21" s="4" t="s">
        <v>367</v>
      </c>
      <c r="C21" s="4" t="s">
        <v>713</v>
      </c>
      <c r="D21" s="4" t="s">
        <v>714</v>
      </c>
      <c r="E21" s="4" t="s">
        <v>633</v>
      </c>
      <c r="F21" s="4" t="s">
        <v>715</v>
      </c>
      <c r="G21" s="4" t="s">
        <v>2239</v>
      </c>
      <c r="H21" s="24" t="s">
        <v>2240</v>
      </c>
      <c r="I21" s="4" t="s">
        <v>622</v>
      </c>
      <c r="J21" s="4" t="s">
        <v>2209</v>
      </c>
    </row>
    <row r="22" customFormat="false" ht="43.5" hidden="false" customHeight="true" outlineLevel="0" collapsed="false">
      <c r="A22" s="5" t="s">
        <v>717</v>
      </c>
      <c r="B22" s="5" t="s">
        <v>248</v>
      </c>
      <c r="C22" s="5" t="s">
        <v>718</v>
      </c>
      <c r="D22" s="5" t="s">
        <v>719</v>
      </c>
      <c r="E22" s="5" t="s">
        <v>720</v>
      </c>
      <c r="F22" s="5" t="s">
        <v>721</v>
      </c>
      <c r="G22" s="5" t="s">
        <v>2241</v>
      </c>
      <c r="H22" s="25" t="s">
        <v>2242</v>
      </c>
      <c r="I22" s="5" t="s">
        <v>622</v>
      </c>
      <c r="J22" s="5" t="s">
        <v>2209</v>
      </c>
    </row>
    <row r="23" customFormat="false" ht="43.5" hidden="false" customHeight="true" outlineLevel="0" collapsed="false">
      <c r="A23" s="4" t="s">
        <v>723</v>
      </c>
      <c r="B23" s="4" t="s">
        <v>248</v>
      </c>
      <c r="C23" s="4" t="s">
        <v>724</v>
      </c>
      <c r="D23" s="4" t="s">
        <v>725</v>
      </c>
      <c r="E23" s="4" t="s">
        <v>704</v>
      </c>
      <c r="F23" s="4" t="s">
        <v>726</v>
      </c>
      <c r="G23" s="4" t="s">
        <v>2243</v>
      </c>
      <c r="H23" s="24" t="s">
        <v>2244</v>
      </c>
      <c r="I23" s="4" t="s">
        <v>622</v>
      </c>
      <c r="J23" s="4" t="s">
        <v>2209</v>
      </c>
    </row>
    <row r="24" customFormat="false" ht="43.5" hidden="false" customHeight="true" outlineLevel="0" collapsed="false">
      <c r="A24" s="5" t="s">
        <v>728</v>
      </c>
      <c r="B24" s="5" t="s">
        <v>248</v>
      </c>
      <c r="C24" s="5" t="s">
        <v>729</v>
      </c>
      <c r="D24" s="5" t="s">
        <v>730</v>
      </c>
      <c r="E24" s="5" t="s">
        <v>704</v>
      </c>
      <c r="F24" s="5" t="s">
        <v>731</v>
      </c>
      <c r="G24" s="5" t="s">
        <v>2245</v>
      </c>
      <c r="H24" s="25" t="s">
        <v>2246</v>
      </c>
      <c r="I24" s="5" t="s">
        <v>622</v>
      </c>
      <c r="J24" s="5" t="s">
        <v>2209</v>
      </c>
    </row>
    <row r="25" customFormat="false" ht="43.5" hidden="false" customHeight="true" outlineLevel="0" collapsed="false">
      <c r="A25" s="4" t="s">
        <v>733</v>
      </c>
      <c r="B25" s="4" t="s">
        <v>248</v>
      </c>
      <c r="C25" s="4" t="s">
        <v>734</v>
      </c>
      <c r="D25" s="4" t="s">
        <v>735</v>
      </c>
      <c r="E25" s="4" t="s">
        <v>704</v>
      </c>
      <c r="F25" s="4" t="s">
        <v>736</v>
      </c>
      <c r="G25" s="4" t="s">
        <v>2247</v>
      </c>
      <c r="H25" s="24" t="s">
        <v>2248</v>
      </c>
      <c r="I25" s="4" t="s">
        <v>622</v>
      </c>
      <c r="J25" s="4" t="s">
        <v>2209</v>
      </c>
    </row>
    <row r="26" customFormat="false" ht="43.5" hidden="false" customHeight="true" outlineLevel="0" collapsed="false">
      <c r="A26" s="5" t="s">
        <v>737</v>
      </c>
      <c r="B26" s="5" t="s">
        <v>248</v>
      </c>
      <c r="C26" s="5" t="s">
        <v>738</v>
      </c>
      <c r="D26" s="5" t="s">
        <v>739</v>
      </c>
      <c r="E26" s="5" t="s">
        <v>704</v>
      </c>
      <c r="F26" s="5" t="s">
        <v>740</v>
      </c>
      <c r="G26" s="5" t="s">
        <v>2249</v>
      </c>
      <c r="H26" s="25" t="s">
        <v>2250</v>
      </c>
      <c r="I26" s="5" t="s">
        <v>622</v>
      </c>
      <c r="J26" s="5" t="s">
        <v>2209</v>
      </c>
    </row>
    <row r="27" customFormat="false" ht="43.5" hidden="false" customHeight="true" outlineLevel="0" collapsed="false">
      <c r="A27" s="4" t="s">
        <v>741</v>
      </c>
      <c r="B27" s="4" t="s">
        <v>248</v>
      </c>
      <c r="C27" s="4" t="s">
        <v>742</v>
      </c>
      <c r="D27" s="4" t="s">
        <v>743</v>
      </c>
      <c r="E27" s="4" t="s">
        <v>704</v>
      </c>
      <c r="F27" s="4" t="s">
        <v>744</v>
      </c>
      <c r="G27" s="4" t="s">
        <v>2251</v>
      </c>
      <c r="H27" s="24" t="s">
        <v>2252</v>
      </c>
      <c r="I27" s="4" t="s">
        <v>622</v>
      </c>
      <c r="J27" s="4" t="s">
        <v>2209</v>
      </c>
    </row>
    <row r="28" customFormat="false" ht="43.5" hidden="false" customHeight="true" outlineLevel="0" collapsed="false">
      <c r="A28" s="5" t="s">
        <v>746</v>
      </c>
      <c r="B28" s="5" t="s">
        <v>368</v>
      </c>
      <c r="C28" s="5" t="s">
        <v>747</v>
      </c>
      <c r="D28" s="5" t="s">
        <v>748</v>
      </c>
      <c r="E28" s="5" t="s">
        <v>704</v>
      </c>
      <c r="F28" s="5" t="s">
        <v>749</v>
      </c>
      <c r="G28" s="5" t="s">
        <v>2253</v>
      </c>
      <c r="H28" s="25" t="s">
        <v>2254</v>
      </c>
      <c r="I28" s="5" t="s">
        <v>649</v>
      </c>
      <c r="J28" s="5" t="s">
        <v>2209</v>
      </c>
    </row>
    <row r="29" customFormat="false" ht="43.5" hidden="false" customHeight="true" outlineLevel="0" collapsed="false">
      <c r="A29" s="4" t="s">
        <v>751</v>
      </c>
      <c r="B29" s="4" t="s">
        <v>368</v>
      </c>
      <c r="C29" s="4" t="s">
        <v>752</v>
      </c>
      <c r="D29" s="4" t="s">
        <v>753</v>
      </c>
      <c r="E29" s="4" t="s">
        <v>704</v>
      </c>
      <c r="F29" s="4" t="s">
        <v>754</v>
      </c>
      <c r="G29" s="4" t="s">
        <v>2255</v>
      </c>
      <c r="H29" s="24" t="s">
        <v>2256</v>
      </c>
      <c r="I29" s="4" t="s">
        <v>622</v>
      </c>
      <c r="J29" s="4" t="s">
        <v>2209</v>
      </c>
    </row>
    <row r="30" customFormat="false" ht="43.5" hidden="false" customHeight="true" outlineLevel="0" collapsed="false">
      <c r="A30" s="5" t="s">
        <v>756</v>
      </c>
      <c r="B30" s="5" t="s">
        <v>368</v>
      </c>
      <c r="C30" s="5" t="s">
        <v>757</v>
      </c>
      <c r="D30" s="5" t="s">
        <v>758</v>
      </c>
      <c r="E30" s="5" t="s">
        <v>704</v>
      </c>
      <c r="F30" s="5" t="s">
        <v>759</v>
      </c>
      <c r="G30" s="5" t="s">
        <v>2257</v>
      </c>
      <c r="H30" s="25" t="s">
        <v>2258</v>
      </c>
      <c r="I30" s="5" t="s">
        <v>622</v>
      </c>
      <c r="J30" s="5" t="s">
        <v>2209</v>
      </c>
    </row>
    <row r="31" customFormat="false" ht="43.5" hidden="false" customHeight="true" outlineLevel="0" collapsed="false">
      <c r="A31" s="4" t="s">
        <v>760</v>
      </c>
      <c r="B31" s="4" t="s">
        <v>248</v>
      </c>
      <c r="C31" s="4" t="s">
        <v>761</v>
      </c>
      <c r="D31" s="4" t="s">
        <v>762</v>
      </c>
      <c r="E31" s="4" t="s">
        <v>704</v>
      </c>
      <c r="F31" s="4" t="s">
        <v>763</v>
      </c>
      <c r="G31" s="4" t="s">
        <v>2259</v>
      </c>
      <c r="H31" s="24" t="s">
        <v>2260</v>
      </c>
      <c r="I31" s="4" t="s">
        <v>622</v>
      </c>
      <c r="J31" s="4" t="s">
        <v>2209</v>
      </c>
    </row>
    <row r="32" customFormat="false" ht="43.5" hidden="false" customHeight="true" outlineLevel="0" collapsed="false">
      <c r="A32" s="5" t="s">
        <v>765</v>
      </c>
      <c r="B32" s="5" t="s">
        <v>248</v>
      </c>
      <c r="C32" s="5" t="s">
        <v>766</v>
      </c>
      <c r="D32" s="5" t="s">
        <v>767</v>
      </c>
      <c r="E32" s="5" t="s">
        <v>704</v>
      </c>
      <c r="F32" s="5" t="s">
        <v>768</v>
      </c>
      <c r="G32" s="5" t="s">
        <v>2261</v>
      </c>
      <c r="H32" s="25" t="s">
        <v>2262</v>
      </c>
      <c r="I32" s="5" t="s">
        <v>622</v>
      </c>
      <c r="J32" s="5" t="s">
        <v>2209</v>
      </c>
    </row>
    <row r="33" customFormat="false" ht="43.5" hidden="false" customHeight="true" outlineLevel="0" collapsed="false">
      <c r="A33" s="4" t="s">
        <v>769</v>
      </c>
      <c r="B33" s="4" t="s">
        <v>770</v>
      </c>
      <c r="C33" s="4" t="s">
        <v>771</v>
      </c>
      <c r="D33" s="4" t="s">
        <v>772</v>
      </c>
      <c r="E33" s="4" t="s">
        <v>773</v>
      </c>
      <c r="F33" s="4" t="s">
        <v>774</v>
      </c>
      <c r="G33" s="4" t="s">
        <v>2263</v>
      </c>
      <c r="H33" s="24" t="s">
        <v>2264</v>
      </c>
      <c r="I33" s="4" t="s">
        <v>622</v>
      </c>
      <c r="J33" s="4" t="s">
        <v>2209</v>
      </c>
    </row>
    <row r="34" customFormat="false" ht="43.5" hidden="false" customHeight="true" outlineLevel="0" collapsed="false">
      <c r="A34" s="5" t="s">
        <v>776</v>
      </c>
      <c r="B34" s="5" t="s">
        <v>770</v>
      </c>
      <c r="C34" s="5" t="s">
        <v>777</v>
      </c>
      <c r="D34" s="5" t="s">
        <v>772</v>
      </c>
      <c r="E34" s="5" t="s">
        <v>704</v>
      </c>
      <c r="F34" s="5" t="s">
        <v>778</v>
      </c>
      <c r="G34" s="5" t="s">
        <v>2265</v>
      </c>
      <c r="H34" s="25" t="s">
        <v>2266</v>
      </c>
      <c r="I34" s="5" t="s">
        <v>622</v>
      </c>
      <c r="J34" s="5" t="s">
        <v>2209</v>
      </c>
    </row>
    <row r="35" customFormat="false" ht="43.5" hidden="false" customHeight="true" outlineLevel="0" collapsed="false">
      <c r="A35" s="4" t="s">
        <v>780</v>
      </c>
      <c r="B35" s="4" t="s">
        <v>770</v>
      </c>
      <c r="C35" s="4" t="s">
        <v>781</v>
      </c>
      <c r="D35" s="4" t="s">
        <v>782</v>
      </c>
      <c r="E35" s="4" t="s">
        <v>704</v>
      </c>
      <c r="F35" s="4" t="s">
        <v>783</v>
      </c>
      <c r="G35" s="4" t="s">
        <v>2267</v>
      </c>
      <c r="H35" s="24" t="s">
        <v>2268</v>
      </c>
      <c r="I35" s="4" t="s">
        <v>622</v>
      </c>
      <c r="J35" s="4" t="s">
        <v>2209</v>
      </c>
    </row>
    <row r="36" customFormat="false" ht="43.5" hidden="false" customHeight="true" outlineLevel="0" collapsed="false">
      <c r="A36" s="5" t="s">
        <v>785</v>
      </c>
      <c r="B36" s="5" t="s">
        <v>786</v>
      </c>
      <c r="C36" s="5" t="s">
        <v>787</v>
      </c>
      <c r="D36" s="5" t="s">
        <v>714</v>
      </c>
      <c r="E36" s="5" t="s">
        <v>633</v>
      </c>
      <c r="F36" s="5" t="s">
        <v>788</v>
      </c>
      <c r="G36" s="5" t="s">
        <v>2269</v>
      </c>
      <c r="H36" s="25" t="s">
        <v>2270</v>
      </c>
      <c r="I36" s="5" t="s">
        <v>649</v>
      </c>
      <c r="J36" s="5" t="s">
        <v>2209</v>
      </c>
    </row>
    <row r="37" customFormat="false" ht="43.5" hidden="false" customHeight="true" outlineLevel="0" collapsed="false">
      <c r="A37" s="4" t="s">
        <v>790</v>
      </c>
      <c r="B37" s="4" t="s">
        <v>770</v>
      </c>
      <c r="C37" s="4" t="s">
        <v>791</v>
      </c>
      <c r="D37" s="4" t="s">
        <v>772</v>
      </c>
      <c r="E37" s="4" t="s">
        <v>704</v>
      </c>
      <c r="F37" s="4" t="s">
        <v>778</v>
      </c>
      <c r="G37" s="4" t="s">
        <v>2271</v>
      </c>
      <c r="H37" s="24" t="s">
        <v>2272</v>
      </c>
      <c r="I37" s="4" t="s">
        <v>649</v>
      </c>
      <c r="J37" s="4" t="s">
        <v>2209</v>
      </c>
    </row>
    <row r="38" customFormat="false" ht="43.5" hidden="false" customHeight="true" outlineLevel="0" collapsed="false">
      <c r="A38" s="5" t="s">
        <v>793</v>
      </c>
      <c r="B38" s="5" t="s">
        <v>770</v>
      </c>
      <c r="C38" s="5" t="s">
        <v>794</v>
      </c>
      <c r="D38" s="5" t="s">
        <v>772</v>
      </c>
      <c r="E38" s="5" t="s">
        <v>795</v>
      </c>
      <c r="F38" s="5" t="s">
        <v>774</v>
      </c>
      <c r="G38" s="5" t="s">
        <v>2273</v>
      </c>
      <c r="H38" s="25" t="s">
        <v>2274</v>
      </c>
      <c r="I38" s="5" t="s">
        <v>649</v>
      </c>
      <c r="J38" s="5" t="s">
        <v>2209</v>
      </c>
    </row>
    <row r="39" customFormat="false" ht="43.5" hidden="false" customHeight="true" outlineLevel="0" collapsed="false">
      <c r="A39" s="4" t="s">
        <v>797</v>
      </c>
      <c r="B39" s="4" t="s">
        <v>770</v>
      </c>
      <c r="C39" s="4" t="s">
        <v>798</v>
      </c>
      <c r="D39" s="4" t="s">
        <v>799</v>
      </c>
      <c r="E39" s="4" t="s">
        <v>800</v>
      </c>
      <c r="F39" s="4" t="s">
        <v>801</v>
      </c>
      <c r="G39" s="4" t="s">
        <v>2275</v>
      </c>
      <c r="H39" s="24" t="s">
        <v>2276</v>
      </c>
      <c r="I39" s="4" t="s">
        <v>622</v>
      </c>
      <c r="J39" s="4" t="s">
        <v>2209</v>
      </c>
    </row>
    <row r="40" customFormat="false" ht="43.5" hidden="false" customHeight="true" outlineLevel="0" collapsed="false">
      <c r="A40" s="5" t="s">
        <v>803</v>
      </c>
      <c r="B40" s="5" t="s">
        <v>770</v>
      </c>
      <c r="C40" s="5" t="s">
        <v>804</v>
      </c>
      <c r="D40" s="5" t="s">
        <v>805</v>
      </c>
      <c r="E40" s="5" t="s">
        <v>773</v>
      </c>
      <c r="F40" s="5" t="s">
        <v>774</v>
      </c>
      <c r="G40" s="5" t="s">
        <v>2277</v>
      </c>
      <c r="H40" s="25" t="s">
        <v>2278</v>
      </c>
      <c r="I40" s="5" t="s">
        <v>622</v>
      </c>
      <c r="J40" s="5" t="s">
        <v>2209</v>
      </c>
    </row>
    <row r="41" customFormat="false" ht="43.5" hidden="false" customHeight="true" outlineLevel="0" collapsed="false">
      <c r="A41" s="4" t="s">
        <v>807</v>
      </c>
      <c r="B41" s="4" t="s">
        <v>770</v>
      </c>
      <c r="C41" s="4" t="s">
        <v>808</v>
      </c>
      <c r="D41" s="4" t="s">
        <v>809</v>
      </c>
      <c r="E41" s="4" t="s">
        <v>810</v>
      </c>
      <c r="F41" s="4" t="s">
        <v>811</v>
      </c>
      <c r="G41" s="4" t="s">
        <v>2279</v>
      </c>
      <c r="H41" s="24" t="s">
        <v>2280</v>
      </c>
      <c r="I41" s="4" t="s">
        <v>622</v>
      </c>
      <c r="J41" s="4" t="s">
        <v>2209</v>
      </c>
    </row>
    <row r="42" customFormat="false" ht="43.5" hidden="false" customHeight="true" outlineLevel="0" collapsed="false">
      <c r="A42" s="5" t="s">
        <v>813</v>
      </c>
      <c r="B42" s="5" t="s">
        <v>770</v>
      </c>
      <c r="C42" s="5" t="s">
        <v>814</v>
      </c>
      <c r="D42" s="5" t="s">
        <v>799</v>
      </c>
      <c r="E42" s="5" t="s">
        <v>800</v>
      </c>
      <c r="F42" s="5" t="s">
        <v>801</v>
      </c>
      <c r="G42" s="5" t="s">
        <v>2281</v>
      </c>
      <c r="H42" s="25" t="s">
        <v>2282</v>
      </c>
      <c r="I42" s="5" t="s">
        <v>622</v>
      </c>
      <c r="J42" s="5" t="s">
        <v>2209</v>
      </c>
    </row>
    <row r="43" customFormat="false" ht="43.5" hidden="false" customHeight="true" outlineLevel="0" collapsed="false">
      <c r="A43" s="4" t="s">
        <v>816</v>
      </c>
      <c r="B43" s="4" t="s">
        <v>770</v>
      </c>
      <c r="C43" s="4" t="s">
        <v>817</v>
      </c>
      <c r="D43" s="4" t="s">
        <v>818</v>
      </c>
      <c r="E43" s="4" t="s">
        <v>704</v>
      </c>
      <c r="F43" s="4" t="s">
        <v>778</v>
      </c>
      <c r="G43" s="4" t="s">
        <v>2283</v>
      </c>
      <c r="H43" s="24" t="s">
        <v>2284</v>
      </c>
      <c r="I43" s="4" t="s">
        <v>622</v>
      </c>
      <c r="J43" s="4" t="s">
        <v>2209</v>
      </c>
    </row>
    <row r="44" customFormat="false" ht="43.5" hidden="false" customHeight="true" outlineLevel="0" collapsed="false">
      <c r="A44" s="5" t="s">
        <v>820</v>
      </c>
      <c r="B44" s="5" t="s">
        <v>770</v>
      </c>
      <c r="C44" s="5" t="s">
        <v>821</v>
      </c>
      <c r="D44" s="5" t="s">
        <v>822</v>
      </c>
      <c r="E44" s="5" t="s">
        <v>823</v>
      </c>
      <c r="F44" s="5" t="s">
        <v>774</v>
      </c>
      <c r="G44" s="5" t="s">
        <v>2285</v>
      </c>
      <c r="H44" s="25" t="s">
        <v>2286</v>
      </c>
      <c r="I44" s="5" t="s">
        <v>622</v>
      </c>
      <c r="J44" s="5" t="s">
        <v>2209</v>
      </c>
    </row>
    <row r="45" customFormat="false" ht="43.5" hidden="false" customHeight="true" outlineLevel="0" collapsed="false">
      <c r="A45" s="4" t="s">
        <v>825</v>
      </c>
      <c r="B45" s="4" t="s">
        <v>770</v>
      </c>
      <c r="C45" s="4" t="s">
        <v>826</v>
      </c>
      <c r="D45" s="4" t="s">
        <v>827</v>
      </c>
      <c r="E45" s="4" t="s">
        <v>828</v>
      </c>
      <c r="F45" s="4" t="s">
        <v>774</v>
      </c>
      <c r="G45" s="4" t="s">
        <v>2287</v>
      </c>
      <c r="H45" s="24" t="s">
        <v>2288</v>
      </c>
      <c r="I45" s="4" t="s">
        <v>622</v>
      </c>
      <c r="J45" s="4" t="s">
        <v>2209</v>
      </c>
    </row>
    <row r="46" customFormat="false" ht="43.5" hidden="false" customHeight="true" outlineLevel="0" collapsed="false">
      <c r="A46" s="5" t="s">
        <v>830</v>
      </c>
      <c r="B46" s="5" t="s">
        <v>770</v>
      </c>
      <c r="C46" s="5" t="s">
        <v>831</v>
      </c>
      <c r="D46" s="5" t="s">
        <v>805</v>
      </c>
      <c r="E46" s="5" t="s">
        <v>773</v>
      </c>
      <c r="F46" s="5" t="s">
        <v>774</v>
      </c>
      <c r="G46" s="5" t="s">
        <v>2289</v>
      </c>
      <c r="H46" s="25" t="s">
        <v>2290</v>
      </c>
      <c r="I46" s="5" t="s">
        <v>622</v>
      </c>
      <c r="J46" s="5" t="s">
        <v>2209</v>
      </c>
    </row>
    <row r="47" customFormat="false" ht="43.5" hidden="false" customHeight="true" outlineLevel="0" collapsed="false">
      <c r="A47" s="4" t="s">
        <v>832</v>
      </c>
      <c r="B47" s="4" t="s">
        <v>770</v>
      </c>
      <c r="C47" s="4" t="s">
        <v>833</v>
      </c>
      <c r="D47" s="4" t="s">
        <v>772</v>
      </c>
      <c r="E47" s="4" t="s">
        <v>795</v>
      </c>
      <c r="F47" s="4" t="s">
        <v>774</v>
      </c>
      <c r="G47" s="4" t="s">
        <v>2291</v>
      </c>
      <c r="H47" s="24" t="s">
        <v>2292</v>
      </c>
      <c r="I47" s="4" t="s">
        <v>649</v>
      </c>
      <c r="J47" s="4" t="s">
        <v>2209</v>
      </c>
    </row>
    <row r="48" customFormat="false" ht="43.5" hidden="false" customHeight="true" outlineLevel="0" collapsed="false">
      <c r="A48" s="5" t="s">
        <v>835</v>
      </c>
      <c r="B48" s="5" t="s">
        <v>770</v>
      </c>
      <c r="C48" s="5" t="s">
        <v>836</v>
      </c>
      <c r="D48" s="5" t="s">
        <v>772</v>
      </c>
      <c r="E48" s="5" t="s">
        <v>795</v>
      </c>
      <c r="F48" s="5" t="s">
        <v>774</v>
      </c>
      <c r="G48" s="5" t="s">
        <v>2293</v>
      </c>
      <c r="H48" s="25" t="s">
        <v>2294</v>
      </c>
      <c r="I48" s="5" t="s">
        <v>649</v>
      </c>
      <c r="J48" s="5" t="s">
        <v>2209</v>
      </c>
    </row>
    <row r="49" customFormat="false" ht="43.5" hidden="false" customHeight="true" outlineLevel="0" collapsed="false">
      <c r="A49" s="4" t="s">
        <v>837</v>
      </c>
      <c r="B49" s="4" t="s">
        <v>770</v>
      </c>
      <c r="C49" s="4" t="s">
        <v>838</v>
      </c>
      <c r="D49" s="4" t="s">
        <v>772</v>
      </c>
      <c r="E49" s="4" t="s">
        <v>795</v>
      </c>
      <c r="F49" s="4" t="s">
        <v>774</v>
      </c>
      <c r="G49" s="4" t="s">
        <v>2295</v>
      </c>
      <c r="H49" s="24" t="s">
        <v>2296</v>
      </c>
      <c r="I49" s="4" t="s">
        <v>622</v>
      </c>
      <c r="J49" s="4" t="s">
        <v>2209</v>
      </c>
    </row>
  </sheetData>
  <autoFilter ref="A4:J4"/>
  <conditionalFormatting sqref="I5:I49">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2297</v>
      </c>
    </row>
    <row r="2" customFormat="false" ht="15" hidden="false" customHeight="false" outlineLevel="0" collapsed="false">
      <c r="A2" s="2" t="s">
        <v>2298</v>
      </c>
    </row>
    <row r="4" customFormat="false" ht="30" hidden="false" customHeight="true" outlineLevel="0" collapsed="false">
      <c r="A4" s="3" t="s">
        <v>2299</v>
      </c>
      <c r="B4" s="3" t="s">
        <v>75</v>
      </c>
    </row>
    <row r="5" customFormat="false" ht="37.5" hidden="false" customHeight="true" outlineLevel="0" collapsed="false">
      <c r="A5" s="4" t="s">
        <v>2300</v>
      </c>
      <c r="B5" s="4" t="s">
        <v>2301</v>
      </c>
    </row>
    <row r="6" customFormat="false" ht="37.5" hidden="false" customHeight="true" outlineLevel="0" collapsed="false">
      <c r="A6" s="5" t="s">
        <v>2302</v>
      </c>
      <c r="B6" s="5" t="s">
        <v>2303</v>
      </c>
    </row>
    <row r="7" customFormat="false" ht="37.5" hidden="false" customHeight="true" outlineLevel="0" collapsed="false">
      <c r="A7" s="4" t="s">
        <v>2304</v>
      </c>
      <c r="B7" s="4" t="s">
        <v>2305</v>
      </c>
    </row>
    <row r="8" customFormat="false" ht="37.5" hidden="false" customHeight="true" outlineLevel="0" collapsed="false">
      <c r="A8" s="5" t="s">
        <v>2306</v>
      </c>
      <c r="B8" s="5" t="s">
        <v>2307</v>
      </c>
    </row>
    <row r="9" customFormat="false" ht="37.5" hidden="false" customHeight="true" outlineLevel="0" collapsed="false">
      <c r="A9" s="4" t="s">
        <v>2308</v>
      </c>
      <c r="B9" s="4" t="s">
        <v>2309</v>
      </c>
    </row>
    <row r="10" customFormat="false" ht="37.5" hidden="false" customHeight="true" outlineLevel="0" collapsed="false">
      <c r="A10" s="5" t="s">
        <v>149</v>
      </c>
      <c r="B10" s="5" t="s">
        <v>2310</v>
      </c>
    </row>
    <row r="11" customFormat="false" ht="37.5" hidden="false" customHeight="true" outlineLevel="0" collapsed="false">
      <c r="A11" s="4" t="s">
        <v>150</v>
      </c>
      <c r="B11" s="4" t="s">
        <v>2311</v>
      </c>
    </row>
    <row r="12" customFormat="false" ht="37.5" hidden="false" customHeight="true" outlineLevel="0" collapsed="false">
      <c r="A12" s="5" t="s">
        <v>2312</v>
      </c>
      <c r="B12" s="5" t="s">
        <v>2313</v>
      </c>
    </row>
    <row r="13" customFormat="false" ht="37.5" hidden="false" customHeight="true" outlineLevel="0" collapsed="false">
      <c r="A13" s="4" t="s">
        <v>2314</v>
      </c>
      <c r="B13" s="4" t="s">
        <v>2315</v>
      </c>
    </row>
    <row r="14" customFormat="false" ht="37.5" hidden="false" customHeight="true" outlineLevel="0" collapsed="false">
      <c r="A14" s="5" t="s">
        <v>2316</v>
      </c>
      <c r="B14" s="5" t="s">
        <v>2317</v>
      </c>
    </row>
    <row r="15" customFormat="false" ht="37.5" hidden="false" customHeight="true" outlineLevel="0" collapsed="false">
      <c r="A15" s="4" t="s">
        <v>2318</v>
      </c>
      <c r="B15" s="4" t="s">
        <v>2319</v>
      </c>
    </row>
    <row r="16" customFormat="false" ht="37.5" hidden="false" customHeight="true" outlineLevel="0" collapsed="false">
      <c r="A16" s="5" t="s">
        <v>2320</v>
      </c>
      <c r="B16" s="5" t="s">
        <v>2321</v>
      </c>
    </row>
    <row r="17" customFormat="false" ht="37.5" hidden="false" customHeight="true" outlineLevel="0" collapsed="false">
      <c r="A17" s="4" t="s">
        <v>2322</v>
      </c>
      <c r="B17" s="4" t="s">
        <v>2323</v>
      </c>
    </row>
    <row r="18" customFormat="false" ht="37.5" hidden="false" customHeight="true" outlineLevel="0" collapsed="false">
      <c r="A18" s="5" t="s">
        <v>2324</v>
      </c>
      <c r="B18" s="5" t="s">
        <v>2325</v>
      </c>
    </row>
    <row r="19" customFormat="false" ht="37.5" hidden="false" customHeight="true" outlineLevel="0" collapsed="false">
      <c r="A19" s="4" t="s">
        <v>2326</v>
      </c>
      <c r="B19" s="4" t="s">
        <v>2327</v>
      </c>
    </row>
    <row r="20" customFormat="false" ht="37.5" hidden="false" customHeight="true" outlineLevel="0" collapsed="false">
      <c r="A20" s="5" t="s">
        <v>2328</v>
      </c>
      <c r="B20" s="5" t="s">
        <v>2329</v>
      </c>
    </row>
    <row r="21" customFormat="false" ht="37.5" hidden="false" customHeight="true" outlineLevel="0" collapsed="false">
      <c r="A21" s="4" t="s">
        <v>2330</v>
      </c>
      <c r="B21" s="4" t="s">
        <v>2331</v>
      </c>
    </row>
    <row r="22" customFormat="false" ht="37.5" hidden="false" customHeight="true" outlineLevel="0" collapsed="false">
      <c r="A22" s="5" t="s">
        <v>2332</v>
      </c>
      <c r="B22" s="5" t="s">
        <v>2333</v>
      </c>
    </row>
    <row r="23" customFormat="false" ht="37.5" hidden="false" customHeight="true" outlineLevel="0" collapsed="false">
      <c r="A23" s="4" t="s">
        <v>857</v>
      </c>
      <c r="B23" s="4" t="s">
        <v>2334</v>
      </c>
    </row>
    <row r="24" customFormat="false" ht="37.5" hidden="false" customHeight="true" outlineLevel="0" collapsed="false">
      <c r="A24" s="5" t="s">
        <v>864</v>
      </c>
      <c r="B24" s="5" t="s">
        <v>2335</v>
      </c>
    </row>
    <row r="25" customFormat="false" ht="37.5" hidden="false" customHeight="true" outlineLevel="0" collapsed="false">
      <c r="A25" s="4" t="s">
        <v>1122</v>
      </c>
      <c r="B25" s="4" t="s">
        <v>2336</v>
      </c>
    </row>
    <row r="26" customFormat="false" ht="37.5" hidden="false" customHeight="true" outlineLevel="0" collapsed="false">
      <c r="A26" s="5" t="s">
        <v>1089</v>
      </c>
      <c r="B26" s="5" t="s">
        <v>2337</v>
      </c>
    </row>
    <row r="27" customFormat="false" ht="37.5" hidden="false" customHeight="true" outlineLevel="0" collapsed="false">
      <c r="A27" s="4" t="s">
        <v>622</v>
      </c>
      <c r="B27" s="4" t="s">
        <v>2338</v>
      </c>
    </row>
    <row r="28" customFormat="false" ht="37.5" hidden="false" customHeight="true" outlineLevel="0" collapsed="false">
      <c r="A28" s="5" t="s">
        <v>649</v>
      </c>
      <c r="B28" s="5" t="s">
        <v>2339</v>
      </c>
    </row>
    <row r="29" customFormat="false" ht="37.5" hidden="false" customHeight="true" outlineLevel="0" collapsed="false">
      <c r="A29" s="4" t="s">
        <v>1823</v>
      </c>
      <c r="B29" s="4" t="s">
        <v>2340</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2026-07-25T13:58:25Z</dcterms:created>
  <dc:creator>openpyxl</dc:creator>
  <dc:description/>
  <dc:language>en-US</dc:language>
  <cp:lastModifiedBy/>
  <dcterms:modified xsi:type="dcterms:W3CDTF">2026-07-25T13:58:26Z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